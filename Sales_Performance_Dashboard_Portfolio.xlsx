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C:\Users\Admin Hp\Desktop\"/>
    </mc:Choice>
  </mc:AlternateContent>
  <xr:revisionPtr revIDLastSave="0" documentId="13_ncr:1_{AFDE4DE7-A802-4B66-8AAA-F0C89B455B67}" xr6:coauthVersionLast="47" xr6:coauthVersionMax="47" xr10:uidLastSave="{00000000-0000-0000-0000-000000000000}"/>
  <bookViews>
    <workbookView xWindow="-110" yWindow="-110" windowWidth="19420" windowHeight="10300" activeTab="4" xr2:uid="{C2810166-F6DB-4A84-998C-F39B98FC56DD}"/>
  </bookViews>
  <sheets>
    <sheet name="Lists" sheetId="2" r:id="rId1"/>
    <sheet name="Raw Data" sheetId="5" r:id="rId2"/>
    <sheet name="Analysis" sheetId="3" r:id="rId3"/>
    <sheet name="Pivots" sheetId="15" r:id="rId4"/>
    <sheet name="Dashboard" sheetId="19" r:id="rId5"/>
    <sheet name="Insights &amp; Recommendations" sheetId="22" r:id="rId6"/>
  </sheets>
  <definedNames>
    <definedName name="Categories">Lists!$B$2:$B$21</definedName>
    <definedName name="Category">Lists!#REF!</definedName>
    <definedName name="Cities">Lists!$A$2:$A$21</definedName>
    <definedName name="City">Lists!#REF!</definedName>
    <definedName name="Costumer_s_Name">Lists!$H$2:$H$21</definedName>
    <definedName name="Dicount">Lists!$I$2:$I$21</definedName>
    <definedName name="Payment_Methods">Lists!$G$2:$G$21</definedName>
    <definedName name="Product">Lists!#REF!</definedName>
    <definedName name="Products">Lists!$D$2:$D$21</definedName>
    <definedName name="Region">Lists!$C$2:$C$21</definedName>
    <definedName name="Salespersons">Lists!$F$2:$F$21</definedName>
    <definedName name="Slicer_Category">#N/A</definedName>
    <definedName name="Slicer_Payment_Method">#N/A</definedName>
    <definedName name="Slicer_Product">#N/A</definedName>
    <definedName name="Slicer_Region">#N/A</definedName>
    <definedName name="Slicer_Sales_person">#N/A</definedName>
    <definedName name="Unit_Price">Lists!#REF!</definedName>
  </definedNames>
  <calcPr calcId="191029"/>
  <pivotCaches>
    <pivotCache cacheId="99"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5" l="1"/>
  <c r="K1001" i="5"/>
  <c r="K1000" i="5"/>
  <c r="K997" i="5"/>
  <c r="K996" i="5"/>
  <c r="K990" i="5"/>
  <c r="K984" i="5"/>
  <c r="K980" i="5"/>
  <c r="K978" i="5"/>
  <c r="K970" i="5"/>
  <c r="K964" i="5"/>
  <c r="K959" i="5"/>
  <c r="K952" i="5"/>
  <c r="K949" i="5"/>
  <c r="K947" i="5"/>
  <c r="K945" i="5"/>
  <c r="K943" i="5"/>
  <c r="K940" i="5"/>
  <c r="K935" i="5"/>
  <c r="K932" i="5"/>
  <c r="K931" i="5"/>
  <c r="K929" i="5"/>
  <c r="K928" i="5"/>
  <c r="K924" i="5"/>
  <c r="K922" i="5"/>
  <c r="K913" i="5"/>
  <c r="K911" i="5"/>
  <c r="K907" i="5"/>
  <c r="K905" i="5"/>
  <c r="K904" i="5"/>
  <c r="K898" i="5"/>
  <c r="K895" i="5"/>
  <c r="K892" i="5"/>
  <c r="K891" i="5"/>
  <c r="K889" i="5"/>
  <c r="K884" i="5"/>
  <c r="K882" i="5"/>
  <c r="K881" i="5"/>
  <c r="K877" i="5"/>
  <c r="K875" i="5"/>
  <c r="K870" i="5"/>
  <c r="K866" i="5"/>
  <c r="K865" i="5"/>
  <c r="K856" i="5"/>
  <c r="K854" i="5"/>
  <c r="K851" i="5"/>
  <c r="K850" i="5"/>
  <c r="K844" i="5"/>
  <c r="K840" i="5"/>
  <c r="K839" i="5"/>
  <c r="K833" i="5"/>
  <c r="K827" i="5"/>
  <c r="K824" i="5"/>
  <c r="K821" i="5"/>
  <c r="K813" i="5"/>
  <c r="K809" i="5"/>
  <c r="K807" i="5"/>
  <c r="K803" i="5"/>
  <c r="K795" i="5"/>
  <c r="K785" i="5"/>
  <c r="K773" i="5"/>
  <c r="K771" i="5"/>
  <c r="K763" i="5"/>
  <c r="K756" i="5"/>
  <c r="K753" i="5"/>
  <c r="K752" i="5"/>
  <c r="K751" i="5"/>
  <c r="K747" i="5"/>
  <c r="K744" i="5"/>
  <c r="K741" i="5"/>
  <c r="K737" i="5"/>
  <c r="K732" i="5"/>
  <c r="K725" i="5"/>
  <c r="K721" i="5"/>
  <c r="K718" i="5"/>
  <c r="K715" i="5"/>
  <c r="K713" i="5"/>
  <c r="K711" i="5"/>
  <c r="K697" i="5"/>
  <c r="K689" i="5"/>
  <c r="K685" i="5"/>
  <c r="K683" i="5"/>
  <c r="K682" i="5"/>
  <c r="K680" i="5"/>
  <c r="K676" i="5"/>
  <c r="K667" i="5"/>
  <c r="K666" i="5"/>
  <c r="K660" i="5"/>
  <c r="K656" i="5"/>
  <c r="K645" i="5"/>
  <c r="K642" i="5"/>
  <c r="K628" i="5"/>
  <c r="K625" i="5"/>
  <c r="K622" i="5"/>
  <c r="K619" i="5"/>
  <c r="K614" i="5"/>
  <c r="K612" i="5"/>
  <c r="K610" i="5"/>
  <c r="K605" i="5"/>
  <c r="K597" i="5"/>
  <c r="K592" i="5"/>
  <c r="K589" i="5"/>
  <c r="K587" i="5"/>
  <c r="K583" i="5"/>
  <c r="K575" i="5"/>
  <c r="K567" i="5"/>
  <c r="K565" i="5"/>
  <c r="K564" i="5"/>
  <c r="K563" i="5"/>
  <c r="K562" i="5"/>
  <c r="K561" i="5"/>
  <c r="K560" i="5"/>
  <c r="K553" i="5"/>
  <c r="K552" i="5"/>
  <c r="K550" i="5"/>
  <c r="K548" i="5"/>
  <c r="K543" i="5"/>
  <c r="K539" i="5"/>
  <c r="K537" i="5"/>
  <c r="K523" i="5"/>
  <c r="K514" i="5"/>
  <c r="K508" i="5"/>
  <c r="K506" i="5"/>
  <c r="K503" i="5"/>
  <c r="K502" i="5"/>
  <c r="K501" i="5"/>
  <c r="K500" i="5"/>
  <c r="K498" i="5"/>
  <c r="K497" i="5"/>
  <c r="K492" i="5"/>
  <c r="K490" i="5"/>
  <c r="K486" i="5"/>
  <c r="K482" i="5"/>
  <c r="K480" i="5"/>
  <c r="K474" i="5"/>
  <c r="K472" i="5"/>
  <c r="K471" i="5"/>
  <c r="K470" i="5"/>
  <c r="K465" i="5"/>
  <c r="K464" i="5"/>
  <c r="K463" i="5"/>
  <c r="K462" i="5"/>
  <c r="K458" i="5"/>
  <c r="K456" i="5"/>
  <c r="K448" i="5"/>
  <c r="K447" i="5"/>
  <c r="K442" i="5"/>
  <c r="K437" i="5"/>
  <c r="K435" i="5"/>
  <c r="K430" i="5"/>
  <c r="K428" i="5"/>
  <c r="K427" i="5"/>
  <c r="K420" i="5"/>
  <c r="K415" i="5"/>
  <c r="K410" i="5"/>
  <c r="K404" i="5"/>
  <c r="K390" i="5"/>
  <c r="K388" i="5"/>
  <c r="K384" i="5"/>
  <c r="K382" i="5"/>
  <c r="K378" i="5"/>
  <c r="K377" i="5"/>
  <c r="K375" i="5"/>
  <c r="K373" i="5"/>
  <c r="K371" i="5"/>
  <c r="K370" i="5"/>
  <c r="K368" i="5"/>
  <c r="K367" i="5"/>
  <c r="K363" i="5"/>
  <c r="K361" i="5"/>
  <c r="K359" i="5"/>
  <c r="K355" i="5"/>
  <c r="K354" i="5"/>
  <c r="K353" i="5"/>
  <c r="K351" i="5"/>
  <c r="K342" i="5"/>
  <c r="K338" i="5"/>
  <c r="K332" i="5"/>
  <c r="K328" i="5"/>
  <c r="K324" i="5"/>
  <c r="K322" i="5"/>
  <c r="K318" i="5"/>
  <c r="K317" i="5"/>
  <c r="K313" i="5"/>
  <c r="K312" i="5"/>
  <c r="K311" i="5"/>
  <c r="K310" i="5"/>
  <c r="K307" i="5"/>
  <c r="K306" i="5"/>
  <c r="K303" i="5"/>
  <c r="K302" i="5"/>
  <c r="K299" i="5"/>
  <c r="K298" i="5"/>
  <c r="K295" i="5"/>
  <c r="K292" i="5"/>
  <c r="K290" i="5"/>
  <c r="K289" i="5"/>
  <c r="K283" i="5"/>
  <c r="K276" i="5"/>
  <c r="K275" i="5"/>
  <c r="K272" i="5"/>
  <c r="K269" i="5"/>
  <c r="K268" i="5"/>
  <c r="K266" i="5"/>
  <c r="K263" i="5"/>
  <c r="K258" i="5"/>
  <c r="K255" i="5"/>
  <c r="K247" i="5"/>
  <c r="K239" i="5"/>
  <c r="K237" i="5"/>
  <c r="K225" i="5"/>
  <c r="K222" i="5"/>
  <c r="K214" i="5"/>
  <c r="K211" i="5"/>
  <c r="K208" i="5"/>
  <c r="K206" i="5"/>
  <c r="K202" i="5"/>
  <c r="K201" i="5"/>
  <c r="K200" i="5"/>
  <c r="K199" i="5"/>
  <c r="K194" i="5"/>
  <c r="K193" i="5"/>
  <c r="K183" i="5"/>
  <c r="K182" i="5"/>
  <c r="K179" i="5"/>
  <c r="K174" i="5"/>
  <c r="K167" i="5"/>
  <c r="K161" i="5"/>
  <c r="K159" i="5"/>
  <c r="K158" i="5"/>
  <c r="K157" i="5"/>
  <c r="K155" i="5"/>
  <c r="K153" i="5"/>
  <c r="K149" i="5"/>
  <c r="K142" i="5"/>
  <c r="K126" i="5"/>
  <c r="K125" i="5"/>
  <c r="K122" i="5"/>
  <c r="K120" i="5"/>
  <c r="K119" i="5"/>
  <c r="K108" i="5"/>
  <c r="K102" i="5"/>
  <c r="K92" i="5"/>
  <c r="K90" i="5"/>
  <c r="K83" i="5"/>
  <c r="K81" i="5"/>
  <c r="K75" i="5"/>
  <c r="K65" i="5"/>
  <c r="K61" i="5"/>
  <c r="K58" i="5"/>
  <c r="K57" i="5"/>
  <c r="K56" i="5"/>
  <c r="K52" i="5"/>
  <c r="K49" i="5"/>
  <c r="K46" i="5"/>
  <c r="K38" i="5"/>
  <c r="K31" i="5"/>
  <c r="K29" i="5"/>
  <c r="K26" i="5"/>
  <c r="K23" i="5"/>
  <c r="K21" i="5"/>
  <c r="K17" i="5"/>
  <c r="K12" i="5"/>
  <c r="K10" i="5"/>
  <c r="K9" i="5"/>
  <c r="K6" i="5"/>
  <c r="K5" i="5"/>
  <c r="N3" i="5"/>
  <c r="N4" i="5"/>
  <c r="N7" i="5"/>
  <c r="N8" i="5"/>
  <c r="N11" i="5"/>
  <c r="N13" i="5"/>
  <c r="N14" i="5"/>
  <c r="N15" i="5"/>
  <c r="N16" i="5"/>
  <c r="N18" i="5"/>
  <c r="N19" i="5"/>
  <c r="N20"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9" i="5"/>
  <c r="N110" i="5"/>
  <c r="N111" i="5"/>
  <c r="N112" i="5"/>
  <c r="N113" i="5"/>
  <c r="N114" i="5"/>
  <c r="N115" i="5"/>
  <c r="N116" i="5"/>
  <c r="N117" i="5"/>
  <c r="N118" i="5"/>
  <c r="N121" i="5"/>
  <c r="N123" i="5"/>
  <c r="N124" i="5"/>
  <c r="N127" i="5"/>
  <c r="N128" i="5"/>
  <c r="N129" i="5"/>
  <c r="N130" i="5"/>
  <c r="N131" i="5"/>
  <c r="N132" i="5"/>
  <c r="N133" i="5"/>
  <c r="N134" i="5"/>
  <c r="N135" i="5"/>
  <c r="N136" i="5"/>
  <c r="N137" i="5"/>
  <c r="N138" i="5"/>
  <c r="N139" i="5"/>
  <c r="N140" i="5"/>
  <c r="N141" i="5"/>
  <c r="N143" i="5"/>
  <c r="N144" i="5"/>
  <c r="N145" i="5"/>
  <c r="N146" i="5"/>
  <c r="N147" i="5"/>
  <c r="N148" i="5"/>
  <c r="N150" i="5"/>
  <c r="N151" i="5"/>
  <c r="N152" i="5"/>
  <c r="N154" i="5"/>
  <c r="N156" i="5"/>
  <c r="N160" i="5"/>
  <c r="N162" i="5"/>
  <c r="N163" i="5"/>
  <c r="N164" i="5"/>
  <c r="N165" i="5"/>
  <c r="N166" i="5"/>
  <c r="N168" i="5"/>
  <c r="N169" i="5"/>
  <c r="N170" i="5"/>
  <c r="N171" i="5"/>
  <c r="N172" i="5"/>
  <c r="N173" i="5"/>
  <c r="N175" i="5"/>
  <c r="N176" i="5"/>
  <c r="N177" i="5"/>
  <c r="N178" i="5"/>
  <c r="N180" i="5"/>
  <c r="N181" i="5"/>
  <c r="N184" i="5"/>
  <c r="N185" i="5"/>
  <c r="N186" i="5"/>
  <c r="N187" i="5"/>
  <c r="N188" i="5"/>
  <c r="N189" i="5"/>
  <c r="N190" i="5"/>
  <c r="N191" i="5"/>
  <c r="N192" i="5"/>
  <c r="N195" i="5"/>
  <c r="N196" i="5"/>
  <c r="N197" i="5"/>
  <c r="N198" i="5"/>
  <c r="N203" i="5"/>
  <c r="N204" i="5"/>
  <c r="N205" i="5"/>
  <c r="N207" i="5"/>
  <c r="N209" i="5"/>
  <c r="N210" i="5"/>
  <c r="N212" i="5"/>
  <c r="N213" i="5"/>
  <c r="N215" i="5"/>
  <c r="N216" i="5"/>
  <c r="N217" i="5"/>
  <c r="N218" i="5"/>
  <c r="N219" i="5"/>
  <c r="N220" i="5"/>
  <c r="N221" i="5"/>
  <c r="N223" i="5"/>
  <c r="N224" i="5"/>
  <c r="N226" i="5"/>
  <c r="N227" i="5"/>
  <c r="N228" i="5"/>
  <c r="N229" i="5"/>
  <c r="N230" i="5"/>
  <c r="N231" i="5"/>
  <c r="N232" i="5"/>
  <c r="N233" i="5"/>
  <c r="N234" i="5"/>
  <c r="N235" i="5"/>
  <c r="N236" i="5"/>
  <c r="N238" i="5"/>
  <c r="N240" i="5"/>
  <c r="N241" i="5"/>
  <c r="N242" i="5"/>
  <c r="N243" i="5"/>
  <c r="N244" i="5"/>
  <c r="N245" i="5"/>
  <c r="N246" i="5"/>
  <c r="N248" i="5"/>
  <c r="N249" i="5"/>
  <c r="N250" i="5"/>
  <c r="N251" i="5"/>
  <c r="N252" i="5"/>
  <c r="N253" i="5"/>
  <c r="N254" i="5"/>
  <c r="N256" i="5"/>
  <c r="N257" i="5"/>
  <c r="N259" i="5"/>
  <c r="N260" i="5"/>
  <c r="N261" i="5"/>
  <c r="N262" i="5"/>
  <c r="N264" i="5"/>
  <c r="N265" i="5"/>
  <c r="N267" i="5"/>
  <c r="N270" i="5"/>
  <c r="N271" i="5"/>
  <c r="N273" i="5"/>
  <c r="N274" i="5"/>
  <c r="N277" i="5"/>
  <c r="N278" i="5"/>
  <c r="N279" i="5"/>
  <c r="N280" i="5"/>
  <c r="N281" i="5"/>
  <c r="N282" i="5"/>
  <c r="N284" i="5"/>
  <c r="N285" i="5"/>
  <c r="N286" i="5"/>
  <c r="N287" i="5"/>
  <c r="N288" i="5"/>
  <c r="N291" i="5"/>
  <c r="N293" i="5"/>
  <c r="N294" i="5"/>
  <c r="N296" i="5"/>
  <c r="N297" i="5"/>
  <c r="N300" i="5"/>
  <c r="N301" i="5"/>
  <c r="N304" i="5"/>
  <c r="N305"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7" i="5"/>
  <c r="N658" i="5"/>
  <c r="N659" i="5"/>
  <c r="N661" i="5"/>
  <c r="N662" i="5"/>
  <c r="N663" i="5"/>
  <c r="N664" i="5"/>
  <c r="N665" i="5"/>
  <c r="N668" i="5"/>
  <c r="N669" i="5"/>
  <c r="N670" i="5"/>
  <c r="N671" i="5"/>
  <c r="N672" i="5"/>
  <c r="N673" i="5"/>
  <c r="N674" i="5"/>
  <c r="N675" i="5"/>
  <c r="N677" i="5"/>
  <c r="N678" i="5"/>
  <c r="N679" i="5"/>
  <c r="N681" i="5"/>
  <c r="N684" i="5"/>
  <c r="N686" i="5"/>
  <c r="N687" i="5"/>
  <c r="N688" i="5"/>
  <c r="N690" i="5"/>
  <c r="N691" i="5"/>
  <c r="N692" i="5"/>
  <c r="N693" i="5"/>
  <c r="N694" i="5"/>
  <c r="N695" i="5"/>
  <c r="N696" i="5"/>
  <c r="N698" i="5"/>
  <c r="N699" i="5"/>
  <c r="N700" i="5"/>
  <c r="N701" i="5"/>
  <c r="N702" i="5"/>
  <c r="N703" i="5"/>
  <c r="N704" i="5"/>
  <c r="N705" i="5"/>
  <c r="N706" i="5"/>
  <c r="N707" i="5"/>
  <c r="N708" i="5"/>
  <c r="N709" i="5"/>
  <c r="N710" i="5"/>
  <c r="N712" i="5"/>
  <c r="N714" i="5"/>
  <c r="N716" i="5"/>
  <c r="N717" i="5"/>
  <c r="N719" i="5"/>
  <c r="N720" i="5"/>
  <c r="N722" i="5"/>
  <c r="N723" i="5"/>
  <c r="N724" i="5"/>
  <c r="N726" i="5"/>
  <c r="N727" i="5"/>
  <c r="N728" i="5"/>
  <c r="N729" i="5"/>
  <c r="N730" i="5"/>
  <c r="N731" i="5"/>
  <c r="N733" i="5"/>
  <c r="N734" i="5"/>
  <c r="N735" i="5"/>
  <c r="N736" i="5"/>
  <c r="N738" i="5"/>
  <c r="N739" i="5"/>
  <c r="N740" i="5"/>
  <c r="N742" i="5"/>
  <c r="N743" i="5"/>
  <c r="N745" i="5"/>
  <c r="N746" i="5"/>
  <c r="N748" i="5"/>
  <c r="N749" i="5"/>
  <c r="N750" i="5"/>
  <c r="N754" i="5"/>
  <c r="N755" i="5"/>
  <c r="N757" i="5"/>
  <c r="N758" i="5"/>
  <c r="N759" i="5"/>
  <c r="N760" i="5"/>
  <c r="N761" i="5"/>
  <c r="N762" i="5"/>
  <c r="N764" i="5"/>
  <c r="N765" i="5"/>
  <c r="N766" i="5"/>
  <c r="N767" i="5"/>
  <c r="N768" i="5"/>
  <c r="N769" i="5"/>
  <c r="N770" i="5"/>
  <c r="N772" i="5"/>
  <c r="N774" i="5"/>
  <c r="N775" i="5"/>
  <c r="N776" i="5"/>
  <c r="N777" i="5"/>
  <c r="N778" i="5"/>
  <c r="N779" i="5"/>
  <c r="N780" i="5"/>
  <c r="N781" i="5"/>
  <c r="N782" i="5"/>
  <c r="N783" i="5"/>
  <c r="N784" i="5"/>
  <c r="N786" i="5"/>
  <c r="N787" i="5"/>
  <c r="N788" i="5"/>
  <c r="N789" i="5"/>
  <c r="N790" i="5"/>
  <c r="N791" i="5"/>
  <c r="N792" i="5"/>
  <c r="N793" i="5"/>
  <c r="N794" i="5"/>
  <c r="N796" i="5"/>
  <c r="N797" i="5"/>
  <c r="N798" i="5"/>
  <c r="N799" i="5"/>
  <c r="N800" i="5"/>
  <c r="N801" i="5"/>
  <c r="N802" i="5"/>
  <c r="N804" i="5"/>
  <c r="N805" i="5"/>
  <c r="N806" i="5"/>
  <c r="N808" i="5"/>
  <c r="N810" i="5"/>
  <c r="N811" i="5"/>
  <c r="N812" i="5"/>
  <c r="N814" i="5"/>
  <c r="N815" i="5"/>
  <c r="N816" i="5"/>
  <c r="N817" i="5"/>
  <c r="N818" i="5"/>
  <c r="N819" i="5"/>
  <c r="N820" i="5"/>
  <c r="N822" i="5"/>
  <c r="N823" i="5"/>
  <c r="N825" i="5"/>
  <c r="N826" i="5"/>
  <c r="N828" i="5"/>
  <c r="N829" i="5"/>
  <c r="N830" i="5"/>
  <c r="N831" i="5"/>
  <c r="N832" i="5"/>
  <c r="N834" i="5"/>
  <c r="N835" i="5"/>
  <c r="N836" i="5"/>
  <c r="N837" i="5"/>
  <c r="N838" i="5"/>
  <c r="N841" i="5"/>
  <c r="N842" i="5"/>
  <c r="N843" i="5"/>
  <c r="N845" i="5"/>
  <c r="N846" i="5"/>
  <c r="N847" i="5"/>
  <c r="N848" i="5"/>
  <c r="N849" i="5"/>
  <c r="N852" i="5"/>
  <c r="N853" i="5"/>
  <c r="N855" i="5"/>
  <c r="N857" i="5"/>
  <c r="N858" i="5"/>
  <c r="N859" i="5"/>
  <c r="N860" i="5"/>
  <c r="N861" i="5"/>
  <c r="N862" i="5"/>
  <c r="N863" i="5"/>
  <c r="N864" i="5"/>
  <c r="N867" i="5"/>
  <c r="N868" i="5"/>
  <c r="N869" i="5"/>
  <c r="N871" i="5"/>
  <c r="N872" i="5"/>
  <c r="N873" i="5"/>
  <c r="N874" i="5"/>
  <c r="N876" i="5"/>
  <c r="N878" i="5"/>
  <c r="N879" i="5"/>
  <c r="N880" i="5"/>
  <c r="N883" i="5"/>
  <c r="N885" i="5"/>
  <c r="N886" i="5"/>
  <c r="N887" i="5"/>
  <c r="N888" i="5"/>
  <c r="N890" i="5"/>
  <c r="N893" i="5"/>
  <c r="N894" i="5"/>
  <c r="N896" i="5"/>
  <c r="N897" i="5"/>
  <c r="N899" i="5"/>
  <c r="N900" i="5"/>
  <c r="N901" i="5"/>
  <c r="N902" i="5"/>
  <c r="N903" i="5"/>
  <c r="N906" i="5"/>
  <c r="N908" i="5"/>
  <c r="N909" i="5"/>
  <c r="N910" i="5"/>
  <c r="N912" i="5"/>
  <c r="N914" i="5"/>
  <c r="N915" i="5"/>
  <c r="N916" i="5"/>
  <c r="N917" i="5"/>
  <c r="N918" i="5"/>
  <c r="N919" i="5"/>
  <c r="N920" i="5"/>
  <c r="N921" i="5"/>
  <c r="N923" i="5"/>
  <c r="N925" i="5"/>
  <c r="N926" i="5"/>
  <c r="N927" i="5"/>
  <c r="N930" i="5"/>
  <c r="N933" i="5"/>
  <c r="N934" i="5"/>
  <c r="N936" i="5"/>
  <c r="N937" i="5"/>
  <c r="N938" i="5"/>
  <c r="N939" i="5"/>
  <c r="N941" i="5"/>
  <c r="N942" i="5"/>
  <c r="N944" i="5"/>
  <c r="N946" i="5"/>
  <c r="N948" i="5"/>
  <c r="N950" i="5"/>
  <c r="N951" i="5"/>
  <c r="N953" i="5"/>
  <c r="N954" i="5"/>
  <c r="N955" i="5"/>
  <c r="N956" i="5"/>
  <c r="N957" i="5"/>
  <c r="N958" i="5"/>
  <c r="N960" i="5"/>
  <c r="N961" i="5"/>
  <c r="N962" i="5"/>
  <c r="N963" i="5"/>
  <c r="N965" i="5"/>
  <c r="N966" i="5"/>
  <c r="N967" i="5"/>
  <c r="N968" i="5"/>
  <c r="N969" i="5"/>
  <c r="N971" i="5"/>
  <c r="N972" i="5"/>
  <c r="N973" i="5"/>
  <c r="N974" i="5"/>
  <c r="N975" i="5"/>
  <c r="N976" i="5"/>
  <c r="N977" i="5"/>
  <c r="N979" i="5"/>
  <c r="N981" i="5"/>
  <c r="N982" i="5"/>
  <c r="N983" i="5"/>
  <c r="N985" i="5"/>
  <c r="N986" i="5"/>
  <c r="N987" i="5"/>
  <c r="N988" i="5"/>
  <c r="N989" i="5"/>
  <c r="N991" i="5"/>
  <c r="N992" i="5"/>
  <c r="N993" i="5"/>
  <c r="N994" i="5"/>
  <c r="N995" i="5"/>
  <c r="N998" i="5"/>
  <c r="N999" i="5"/>
  <c r="I1001" i="5"/>
  <c r="N1001" i="5" s="1"/>
  <c r="I1000" i="5"/>
  <c r="N1000" i="5" s="1"/>
  <c r="I997" i="5"/>
  <c r="N997" i="5" s="1"/>
  <c r="I996" i="5"/>
  <c r="N996" i="5" s="1"/>
  <c r="I990" i="5"/>
  <c r="N990" i="5" s="1"/>
  <c r="I984" i="5"/>
  <c r="N984" i="5" s="1"/>
  <c r="I980" i="5"/>
  <c r="N980" i="5" s="1"/>
  <c r="I978" i="5"/>
  <c r="N978" i="5" s="1"/>
  <c r="I970" i="5"/>
  <c r="N970" i="5" s="1"/>
  <c r="I964" i="5"/>
  <c r="N964" i="5" s="1"/>
  <c r="I959" i="5"/>
  <c r="N959" i="5" s="1"/>
  <c r="I952" i="5"/>
  <c r="N952" i="5" s="1"/>
  <c r="I949" i="5"/>
  <c r="N949" i="5" s="1"/>
  <c r="I947" i="5"/>
  <c r="N947" i="5" s="1"/>
  <c r="I945" i="5"/>
  <c r="N945" i="5" s="1"/>
  <c r="I943" i="5"/>
  <c r="N943" i="5" s="1"/>
  <c r="I940" i="5"/>
  <c r="N940" i="5" s="1"/>
  <c r="I935" i="5"/>
  <c r="N935" i="5" s="1"/>
  <c r="I932" i="5"/>
  <c r="N932" i="5" s="1"/>
  <c r="I931" i="5"/>
  <c r="N931" i="5" s="1"/>
  <c r="I929" i="5"/>
  <c r="N929" i="5" s="1"/>
  <c r="I928" i="5"/>
  <c r="N928" i="5" s="1"/>
  <c r="I924" i="5"/>
  <c r="N924" i="5" s="1"/>
  <c r="I922" i="5"/>
  <c r="N922" i="5" s="1"/>
  <c r="I913" i="5"/>
  <c r="N913" i="5" s="1"/>
  <c r="I911" i="5"/>
  <c r="N911" i="5" s="1"/>
  <c r="I907" i="5"/>
  <c r="N907" i="5" s="1"/>
  <c r="I905" i="5"/>
  <c r="N905" i="5" s="1"/>
  <c r="I904" i="5"/>
  <c r="N904" i="5" s="1"/>
  <c r="I898" i="5"/>
  <c r="N898" i="5" s="1"/>
  <c r="I895" i="5"/>
  <c r="N895" i="5" s="1"/>
  <c r="I892" i="5"/>
  <c r="N892" i="5" s="1"/>
  <c r="I891" i="5"/>
  <c r="N891" i="5" s="1"/>
  <c r="I889" i="5"/>
  <c r="N889" i="5" s="1"/>
  <c r="I884" i="5"/>
  <c r="N884" i="5" s="1"/>
  <c r="I882" i="5"/>
  <c r="N882" i="5" s="1"/>
  <c r="I881" i="5"/>
  <c r="N881" i="5" s="1"/>
  <c r="I877" i="5"/>
  <c r="N877" i="5" s="1"/>
  <c r="I875" i="5"/>
  <c r="N875" i="5" s="1"/>
  <c r="I870" i="5"/>
  <c r="N870" i="5" s="1"/>
  <c r="I866" i="5"/>
  <c r="N866" i="5" s="1"/>
  <c r="I865" i="5"/>
  <c r="N865" i="5" s="1"/>
  <c r="I856" i="5"/>
  <c r="N856" i="5" s="1"/>
  <c r="I854" i="5"/>
  <c r="N854" i="5" s="1"/>
  <c r="I851" i="5"/>
  <c r="N851" i="5" s="1"/>
  <c r="I850" i="5"/>
  <c r="N850" i="5" s="1"/>
  <c r="I844" i="5"/>
  <c r="N844" i="5" s="1"/>
  <c r="I840" i="5"/>
  <c r="N840" i="5" s="1"/>
  <c r="I839" i="5"/>
  <c r="N839" i="5" s="1"/>
  <c r="I833" i="5"/>
  <c r="N833" i="5" s="1"/>
  <c r="I827" i="5"/>
  <c r="N827" i="5" s="1"/>
  <c r="I824" i="5"/>
  <c r="N824" i="5" s="1"/>
  <c r="I821" i="5"/>
  <c r="N821" i="5" s="1"/>
  <c r="I813" i="5"/>
  <c r="N813" i="5" s="1"/>
  <c r="I809" i="5"/>
  <c r="N809" i="5" s="1"/>
  <c r="I807" i="5"/>
  <c r="N807" i="5" s="1"/>
  <c r="I803" i="5"/>
  <c r="N803" i="5" s="1"/>
  <c r="I795" i="5"/>
  <c r="N795" i="5" s="1"/>
  <c r="I785" i="5"/>
  <c r="N785" i="5" s="1"/>
  <c r="I773" i="5"/>
  <c r="N773" i="5" s="1"/>
  <c r="I771" i="5"/>
  <c r="N771" i="5" s="1"/>
  <c r="I763" i="5"/>
  <c r="N763" i="5" s="1"/>
  <c r="I756" i="5"/>
  <c r="N756" i="5" s="1"/>
  <c r="I753" i="5"/>
  <c r="N753" i="5" s="1"/>
  <c r="I752" i="5"/>
  <c r="N752" i="5" s="1"/>
  <c r="I751" i="5"/>
  <c r="N751" i="5" s="1"/>
  <c r="I747" i="5"/>
  <c r="N747" i="5" s="1"/>
  <c r="I744" i="5"/>
  <c r="N744" i="5" s="1"/>
  <c r="I741" i="5"/>
  <c r="N741" i="5" s="1"/>
  <c r="I737" i="5"/>
  <c r="N737" i="5" s="1"/>
  <c r="I732" i="5"/>
  <c r="N732" i="5" s="1"/>
  <c r="I725" i="5"/>
  <c r="N725" i="5" s="1"/>
  <c r="I721" i="5"/>
  <c r="N721" i="5" s="1"/>
  <c r="I718" i="5"/>
  <c r="N718" i="5" s="1"/>
  <c r="I715" i="5"/>
  <c r="N715" i="5" s="1"/>
  <c r="I713" i="5"/>
  <c r="N713" i="5" s="1"/>
  <c r="I711" i="5"/>
  <c r="N711" i="5" s="1"/>
  <c r="I697" i="5"/>
  <c r="N697" i="5" s="1"/>
  <c r="I689" i="5"/>
  <c r="N689" i="5" s="1"/>
  <c r="I685" i="5"/>
  <c r="N685" i="5" s="1"/>
  <c r="I683" i="5"/>
  <c r="I682" i="5"/>
  <c r="I680" i="5"/>
  <c r="I676" i="5"/>
  <c r="I667" i="5"/>
  <c r="I666" i="5"/>
  <c r="I660" i="5"/>
  <c r="I656" i="5"/>
  <c r="I645" i="5"/>
  <c r="I642" i="5"/>
  <c r="I628" i="5"/>
  <c r="I625" i="5"/>
  <c r="I622" i="5"/>
  <c r="I619" i="5"/>
  <c r="I614" i="5"/>
  <c r="I612" i="5"/>
  <c r="I610" i="5"/>
  <c r="I605" i="5"/>
  <c r="I597" i="5"/>
  <c r="I592" i="5"/>
  <c r="I589" i="5"/>
  <c r="I587" i="5"/>
  <c r="I583" i="5"/>
  <c r="I575" i="5"/>
  <c r="I567" i="5"/>
  <c r="I565" i="5"/>
  <c r="I564" i="5"/>
  <c r="I563" i="5"/>
  <c r="I562" i="5"/>
  <c r="I561" i="5"/>
  <c r="I560" i="5"/>
  <c r="I553" i="5"/>
  <c r="I552" i="5"/>
  <c r="I550" i="5"/>
  <c r="I548" i="5"/>
  <c r="I543" i="5"/>
  <c r="I539" i="5"/>
  <c r="I537" i="5"/>
  <c r="I523" i="5"/>
  <c r="I514" i="5"/>
  <c r="I508" i="5"/>
  <c r="I506" i="5"/>
  <c r="I503" i="5"/>
  <c r="I502" i="5"/>
  <c r="I501" i="5"/>
  <c r="I500" i="5"/>
  <c r="I498" i="5"/>
  <c r="I497" i="5"/>
  <c r="I492" i="5"/>
  <c r="I490" i="5"/>
  <c r="I486" i="5"/>
  <c r="I482" i="5"/>
  <c r="I480" i="5"/>
  <c r="I474" i="5"/>
  <c r="I472" i="5"/>
  <c r="I471" i="5"/>
  <c r="I470" i="5"/>
  <c r="I465" i="5"/>
  <c r="I464" i="5"/>
  <c r="I463" i="5"/>
  <c r="I462" i="5"/>
  <c r="I458" i="5"/>
  <c r="I456" i="5"/>
  <c r="I448" i="5"/>
  <c r="I447" i="5"/>
  <c r="I442" i="5"/>
  <c r="I437" i="5"/>
  <c r="I435" i="5"/>
  <c r="I430" i="5"/>
  <c r="I428" i="5"/>
  <c r="I427" i="5"/>
  <c r="I420" i="5"/>
  <c r="I415" i="5"/>
  <c r="I410" i="5"/>
  <c r="I404" i="5"/>
  <c r="I390" i="5"/>
  <c r="I388" i="5"/>
  <c r="I384" i="5"/>
  <c r="I382" i="5"/>
  <c r="I378" i="5"/>
  <c r="I377" i="5"/>
  <c r="I375" i="5"/>
  <c r="I373" i="5"/>
  <c r="I371" i="5"/>
  <c r="I370" i="5"/>
  <c r="I368" i="5"/>
  <c r="I367" i="5"/>
  <c r="I363" i="5"/>
  <c r="I361" i="5"/>
  <c r="I359" i="5"/>
  <c r="I355" i="5"/>
  <c r="I354" i="5"/>
  <c r="I353" i="5"/>
  <c r="I351" i="5"/>
  <c r="I342" i="5"/>
  <c r="I338" i="5"/>
  <c r="I332" i="5"/>
  <c r="I328" i="5"/>
  <c r="I324" i="5"/>
  <c r="I322" i="5"/>
  <c r="I318" i="5"/>
  <c r="I317" i="5"/>
  <c r="I313" i="5"/>
  <c r="I312" i="5"/>
  <c r="I311" i="5"/>
  <c r="I310" i="5"/>
  <c r="I307" i="5"/>
  <c r="N307" i="5" s="1"/>
  <c r="I306" i="5"/>
  <c r="N306" i="5" s="1"/>
  <c r="I303" i="5"/>
  <c r="N303" i="5" s="1"/>
  <c r="I302" i="5"/>
  <c r="N302" i="5" s="1"/>
  <c r="I299" i="5"/>
  <c r="N299" i="5" s="1"/>
  <c r="I298" i="5"/>
  <c r="N298" i="5" s="1"/>
  <c r="I295" i="5"/>
  <c r="N295" i="5" s="1"/>
  <c r="I292" i="5"/>
  <c r="N292" i="5" s="1"/>
  <c r="I290" i="5"/>
  <c r="N290" i="5" s="1"/>
  <c r="I289" i="5"/>
  <c r="N289" i="5" s="1"/>
  <c r="I283" i="5"/>
  <c r="N283" i="5" s="1"/>
  <c r="I276" i="5"/>
  <c r="N276" i="5" s="1"/>
  <c r="I275" i="5"/>
  <c r="N275" i="5" s="1"/>
  <c r="I272" i="5"/>
  <c r="N272" i="5" s="1"/>
  <c r="I269" i="5"/>
  <c r="N269" i="5" s="1"/>
  <c r="I268" i="5"/>
  <c r="N268" i="5" s="1"/>
  <c r="I266" i="5"/>
  <c r="N266" i="5" s="1"/>
  <c r="I263" i="5"/>
  <c r="N263" i="5" s="1"/>
  <c r="I258" i="5"/>
  <c r="N258" i="5" s="1"/>
  <c r="I255" i="5"/>
  <c r="N255" i="5" s="1"/>
  <c r="I247" i="5"/>
  <c r="N247" i="5" s="1"/>
  <c r="I239" i="5"/>
  <c r="N239" i="5" s="1"/>
  <c r="I237" i="5"/>
  <c r="N237" i="5" s="1"/>
  <c r="I225" i="5"/>
  <c r="N225" i="5" s="1"/>
  <c r="I222" i="5"/>
  <c r="N222" i="5" s="1"/>
  <c r="I214" i="5"/>
  <c r="N214" i="5" s="1"/>
  <c r="I211" i="5"/>
  <c r="N211" i="5" s="1"/>
  <c r="I208" i="5"/>
  <c r="N208" i="5" s="1"/>
  <c r="I206" i="5"/>
  <c r="N206" i="5" s="1"/>
  <c r="I202" i="5"/>
  <c r="N202" i="5" s="1"/>
  <c r="I201" i="5"/>
  <c r="I200" i="5"/>
  <c r="N200" i="5" s="1"/>
  <c r="I199" i="5"/>
  <c r="N199" i="5" s="1"/>
  <c r="I194" i="5"/>
  <c r="I193" i="5"/>
  <c r="I183" i="5"/>
  <c r="I182" i="5"/>
  <c r="I179" i="5"/>
  <c r="N179" i="5" s="1"/>
  <c r="I174" i="5"/>
  <c r="N174" i="5" s="1"/>
  <c r="I167" i="5"/>
  <c r="N167" i="5" s="1"/>
  <c r="I161" i="5"/>
  <c r="N161" i="5" s="1"/>
  <c r="I159" i="5"/>
  <c r="N159" i="5" s="1"/>
  <c r="I158" i="5"/>
  <c r="N158" i="5" s="1"/>
  <c r="I157" i="5"/>
  <c r="N157" i="5" s="1"/>
  <c r="I155" i="5"/>
  <c r="N155" i="5" s="1"/>
  <c r="I153" i="5"/>
  <c r="N153" i="5" s="1"/>
  <c r="I149" i="5"/>
  <c r="N149" i="5" s="1"/>
  <c r="I142" i="5"/>
  <c r="N142" i="5" s="1"/>
  <c r="I126" i="5"/>
  <c r="N126" i="5" s="1"/>
  <c r="I125" i="5"/>
  <c r="N125" i="5" s="1"/>
  <c r="I122" i="5"/>
  <c r="N122" i="5" s="1"/>
  <c r="I120" i="5"/>
  <c r="I119" i="5"/>
  <c r="I108" i="5"/>
  <c r="N108" i="5" s="1"/>
  <c r="I102" i="5"/>
  <c r="I92" i="5"/>
  <c r="I90" i="5"/>
  <c r="I83" i="5"/>
  <c r="I81" i="5"/>
  <c r="I75" i="5"/>
  <c r="I65" i="5"/>
  <c r="I61" i="5"/>
  <c r="I58" i="5"/>
  <c r="I57" i="5"/>
  <c r="I56" i="5"/>
  <c r="I52" i="5"/>
  <c r="I49" i="5"/>
  <c r="I46" i="5"/>
  <c r="I38" i="5"/>
  <c r="I31" i="5"/>
  <c r="I29" i="5"/>
  <c r="I26" i="5"/>
  <c r="I23" i="5"/>
  <c r="I21" i="5"/>
  <c r="N21" i="5" s="1"/>
  <c r="I17" i="5"/>
  <c r="N17" i="5" s="1"/>
  <c r="I12" i="5"/>
  <c r="N12" i="5" s="1"/>
  <c r="I10" i="5"/>
  <c r="N10" i="5" s="1"/>
  <c r="I9" i="5"/>
  <c r="N9" i="5" s="1"/>
  <c r="I6" i="5"/>
  <c r="N6" i="5" s="1"/>
  <c r="I5" i="5"/>
  <c r="N5" i="5" s="1"/>
  <c r="I2" i="5"/>
  <c r="N2" i="5" s="1"/>
  <c r="G1001" i="5"/>
  <c r="G1000" i="5"/>
  <c r="G997" i="5"/>
  <c r="G996" i="5"/>
  <c r="G990" i="5"/>
  <c r="G984" i="5"/>
  <c r="G980" i="5"/>
  <c r="G978" i="5"/>
  <c r="G970" i="5"/>
  <c r="G964" i="5"/>
  <c r="G959" i="5"/>
  <c r="G952" i="5"/>
  <c r="G949" i="5"/>
  <c r="G947" i="5"/>
  <c r="G945" i="5"/>
  <c r="G943" i="5"/>
  <c r="G940" i="5"/>
  <c r="G935" i="5"/>
  <c r="G932" i="5"/>
  <c r="G931" i="5"/>
  <c r="G929" i="5"/>
  <c r="G928" i="5"/>
  <c r="G924" i="5"/>
  <c r="G922" i="5"/>
  <c r="G913" i="5"/>
  <c r="G911" i="5"/>
  <c r="G907" i="5"/>
  <c r="G905" i="5"/>
  <c r="G904" i="5"/>
  <c r="G898" i="5"/>
  <c r="G895" i="5"/>
  <c r="G892" i="5"/>
  <c r="G891" i="5"/>
  <c r="G889" i="5"/>
  <c r="G884" i="5"/>
  <c r="G882" i="5"/>
  <c r="G881" i="5"/>
  <c r="G877" i="5"/>
  <c r="G875" i="5"/>
  <c r="G870" i="5"/>
  <c r="G866" i="5"/>
  <c r="G865" i="5"/>
  <c r="G856" i="5"/>
  <c r="G854" i="5"/>
  <c r="G851" i="5"/>
  <c r="G850" i="5"/>
  <c r="G844" i="5"/>
  <c r="G840" i="5"/>
  <c r="G839" i="5"/>
  <c r="G833" i="5"/>
  <c r="G827" i="5"/>
  <c r="G824" i="5"/>
  <c r="G821" i="5"/>
  <c r="G813" i="5"/>
  <c r="G809" i="5"/>
  <c r="G807" i="5"/>
  <c r="G803" i="5"/>
  <c r="G795" i="5"/>
  <c r="G785" i="5"/>
  <c r="G773" i="5"/>
  <c r="G771" i="5"/>
  <c r="G763" i="5"/>
  <c r="G756" i="5"/>
  <c r="G753" i="5"/>
  <c r="G752" i="5"/>
  <c r="G751" i="5"/>
  <c r="G747" i="5"/>
  <c r="G744" i="5"/>
  <c r="G741" i="5"/>
  <c r="G737" i="5"/>
  <c r="G732" i="5"/>
  <c r="G725" i="5"/>
  <c r="G721" i="5"/>
  <c r="G718" i="5"/>
  <c r="G715" i="5"/>
  <c r="G713" i="5"/>
  <c r="G711" i="5"/>
  <c r="G697" i="5"/>
  <c r="G689" i="5"/>
  <c r="G685" i="5"/>
  <c r="G683" i="5"/>
  <c r="G682" i="5"/>
  <c r="G680" i="5"/>
  <c r="G676" i="5"/>
  <c r="G667" i="5"/>
  <c r="G666" i="5"/>
  <c r="G660" i="5"/>
  <c r="G656" i="5"/>
  <c r="G645" i="5"/>
  <c r="G642" i="5"/>
  <c r="G628" i="5"/>
  <c r="G625" i="5"/>
  <c r="G622" i="5"/>
  <c r="G619" i="5"/>
  <c r="G614" i="5"/>
  <c r="G612" i="5"/>
  <c r="G610" i="5"/>
  <c r="G605" i="5"/>
  <c r="G597" i="5"/>
  <c r="G592" i="5"/>
  <c r="G589" i="5"/>
  <c r="G587" i="5"/>
  <c r="G583" i="5"/>
  <c r="G575" i="5"/>
  <c r="G567" i="5"/>
  <c r="G565" i="5"/>
  <c r="G564" i="5"/>
  <c r="G563" i="5"/>
  <c r="G562" i="5"/>
  <c r="G561" i="5"/>
  <c r="G560" i="5"/>
  <c r="G553" i="5"/>
  <c r="G552" i="5"/>
  <c r="G550" i="5"/>
  <c r="G548" i="5"/>
  <c r="G543" i="5"/>
  <c r="G539" i="5"/>
  <c r="G537" i="5"/>
  <c r="G523" i="5"/>
  <c r="G514" i="5"/>
  <c r="G508" i="5"/>
  <c r="G506" i="5"/>
  <c r="G503" i="5"/>
  <c r="G502" i="5"/>
  <c r="G501" i="5"/>
  <c r="G500" i="5"/>
  <c r="G498" i="5"/>
  <c r="G497" i="5"/>
  <c r="G492" i="5"/>
  <c r="G490" i="5"/>
  <c r="G486" i="5"/>
  <c r="G482" i="5"/>
  <c r="G480" i="5"/>
  <c r="G474" i="5"/>
  <c r="G472" i="5"/>
  <c r="G471" i="5"/>
  <c r="G470" i="5"/>
  <c r="G465" i="5"/>
  <c r="G464" i="5"/>
  <c r="G463" i="5"/>
  <c r="G462" i="5"/>
  <c r="G458" i="5"/>
  <c r="G456" i="5"/>
  <c r="G448" i="5"/>
  <c r="G447" i="5"/>
  <c r="G442" i="5"/>
  <c r="G437" i="5"/>
  <c r="G435" i="5"/>
  <c r="G430" i="5"/>
  <c r="G428" i="5"/>
  <c r="G427" i="5"/>
  <c r="G420" i="5"/>
  <c r="G415" i="5"/>
  <c r="G410" i="5"/>
  <c r="G404" i="5"/>
  <c r="G390" i="5"/>
  <c r="G388" i="5"/>
  <c r="G384" i="5"/>
  <c r="G382" i="5"/>
  <c r="G378" i="5"/>
  <c r="G377" i="5"/>
  <c r="G375" i="5"/>
  <c r="G373" i="5"/>
  <c r="G371" i="5"/>
  <c r="G370" i="5"/>
  <c r="G368" i="5"/>
  <c r="G367" i="5"/>
  <c r="G363" i="5"/>
  <c r="G361" i="5"/>
  <c r="G359" i="5"/>
  <c r="G355" i="5"/>
  <c r="G354" i="5"/>
  <c r="G353" i="5"/>
  <c r="G351" i="5"/>
  <c r="G342" i="5"/>
  <c r="G338" i="5"/>
  <c r="G332" i="5"/>
  <c r="G328" i="5"/>
  <c r="G324" i="5"/>
  <c r="G322" i="5"/>
  <c r="G318" i="5"/>
  <c r="G317" i="5"/>
  <c r="G313" i="5"/>
  <c r="G312" i="5"/>
  <c r="G311" i="5"/>
  <c r="G310" i="5"/>
  <c r="G307" i="5"/>
  <c r="G306" i="5"/>
  <c r="G303" i="5"/>
  <c r="G302" i="5"/>
  <c r="G299" i="5"/>
  <c r="G298" i="5"/>
  <c r="G295" i="5"/>
  <c r="G292" i="5"/>
  <c r="G290" i="5"/>
  <c r="G289" i="5"/>
  <c r="G283" i="5"/>
  <c r="G276" i="5"/>
  <c r="G275" i="5"/>
  <c r="G272" i="5"/>
  <c r="G269" i="5"/>
  <c r="G268" i="5"/>
  <c r="G266" i="5"/>
  <c r="G263" i="5"/>
  <c r="G258" i="5"/>
  <c r="G255" i="5"/>
  <c r="G247" i="5"/>
  <c r="G239" i="5"/>
  <c r="G237" i="5"/>
  <c r="G225" i="5"/>
  <c r="G222" i="5"/>
  <c r="G214" i="5"/>
  <c r="G211" i="5"/>
  <c r="G208" i="5"/>
  <c r="G206" i="5"/>
  <c r="G202" i="5"/>
  <c r="G201" i="5"/>
  <c r="G200" i="5"/>
  <c r="G199" i="5"/>
  <c r="G194" i="5"/>
  <c r="G193" i="5"/>
  <c r="G183" i="5"/>
  <c r="G182" i="5"/>
  <c r="G179" i="5"/>
  <c r="G174" i="5"/>
  <c r="G167" i="5"/>
  <c r="G161" i="5"/>
  <c r="G159" i="5"/>
  <c r="G158" i="5"/>
  <c r="G157" i="5"/>
  <c r="G155" i="5"/>
  <c r="G153" i="5"/>
  <c r="G149" i="5"/>
  <c r="G142" i="5"/>
  <c r="G126" i="5"/>
  <c r="G125" i="5"/>
  <c r="G122" i="5"/>
  <c r="G120" i="5"/>
  <c r="G119" i="5"/>
  <c r="G108" i="5"/>
  <c r="G102" i="5"/>
  <c r="G92" i="5"/>
  <c r="G90" i="5"/>
  <c r="G83" i="5"/>
  <c r="G81" i="5"/>
  <c r="G75" i="5"/>
  <c r="G65" i="5"/>
  <c r="G61" i="5"/>
  <c r="G58" i="5"/>
  <c r="G57" i="5"/>
  <c r="G56" i="5"/>
  <c r="G52" i="5"/>
  <c r="G49" i="5"/>
  <c r="G46" i="5"/>
  <c r="G38" i="5"/>
  <c r="G31" i="5"/>
  <c r="G29" i="5"/>
  <c r="G26" i="5"/>
  <c r="G23" i="5"/>
  <c r="G21" i="5"/>
  <c r="G17" i="5"/>
  <c r="G12" i="5"/>
  <c r="G10" i="5"/>
  <c r="G9" i="5"/>
  <c r="G6" i="5"/>
  <c r="G5" i="5"/>
  <c r="G2" i="5"/>
  <c r="B8" i="19"/>
  <c r="D5" i="19"/>
  <c r="B5" i="19"/>
  <c r="D8" i="19"/>
  <c r="C2" i="3"/>
  <c r="A1001" i="5"/>
  <c r="A1000" i="5"/>
  <c r="A999" i="5"/>
  <c r="A998" i="5"/>
  <c r="A997" i="5"/>
  <c r="A996" i="5"/>
  <c r="A995" i="5"/>
  <c r="A994" i="5"/>
  <c r="A993" i="5"/>
  <c r="A992" i="5"/>
  <c r="A991" i="5"/>
  <c r="A990" i="5"/>
  <c r="A989" i="5"/>
  <c r="A988" i="5"/>
  <c r="A987" i="5"/>
  <c r="A986" i="5"/>
  <c r="A985" i="5"/>
  <c r="A984" i="5"/>
  <c r="A983" i="5"/>
  <c r="A982" i="5"/>
  <c r="A981" i="5"/>
  <c r="A980" i="5"/>
  <c r="A979" i="5"/>
  <c r="A978" i="5"/>
  <c r="A977" i="5"/>
  <c r="A976" i="5"/>
  <c r="A975" i="5"/>
  <c r="A974" i="5"/>
  <c r="A973" i="5"/>
  <c r="A972" i="5"/>
  <c r="A971" i="5"/>
  <c r="A970" i="5"/>
  <c r="A969" i="5"/>
  <c r="A968" i="5"/>
  <c r="A967" i="5"/>
  <c r="A966" i="5"/>
  <c r="A965" i="5"/>
  <c r="A964" i="5"/>
  <c r="A963" i="5"/>
  <c r="A962" i="5"/>
  <c r="A961" i="5"/>
  <c r="A960" i="5"/>
  <c r="A959" i="5"/>
  <c r="A958" i="5"/>
  <c r="A957" i="5"/>
  <c r="A956" i="5"/>
  <c r="A955" i="5"/>
  <c r="A954" i="5"/>
  <c r="A953" i="5"/>
  <c r="A952" i="5"/>
  <c r="A951" i="5"/>
  <c r="A950" i="5"/>
  <c r="A949" i="5"/>
  <c r="A948" i="5"/>
  <c r="A947" i="5"/>
  <c r="A946" i="5"/>
  <c r="A945" i="5"/>
  <c r="A944" i="5"/>
  <c r="A943" i="5"/>
  <c r="A942" i="5"/>
  <c r="A941" i="5"/>
  <c r="A940" i="5"/>
  <c r="A939" i="5"/>
  <c r="A938" i="5"/>
  <c r="A937" i="5"/>
  <c r="A936" i="5"/>
  <c r="A935" i="5"/>
  <c r="A934" i="5"/>
  <c r="A933" i="5"/>
  <c r="A932" i="5"/>
  <c r="A931" i="5"/>
  <c r="A930" i="5"/>
  <c r="A929" i="5"/>
  <c r="A928" i="5"/>
  <c r="A927" i="5"/>
  <c r="A926" i="5"/>
  <c r="A925" i="5"/>
  <c r="A924" i="5"/>
  <c r="A923" i="5"/>
  <c r="A922" i="5"/>
  <c r="A921" i="5"/>
  <c r="A920" i="5"/>
  <c r="A919" i="5"/>
  <c r="A918" i="5"/>
  <c r="A917" i="5"/>
  <c r="A916" i="5"/>
  <c r="A915" i="5"/>
  <c r="A914" i="5"/>
  <c r="A913" i="5"/>
  <c r="A912" i="5"/>
  <c r="A911" i="5"/>
  <c r="A910" i="5"/>
  <c r="A909" i="5"/>
  <c r="A908" i="5"/>
  <c r="A907" i="5"/>
  <c r="A906" i="5"/>
  <c r="A905" i="5"/>
  <c r="A904" i="5"/>
  <c r="A903" i="5"/>
  <c r="A902" i="5"/>
  <c r="A901" i="5"/>
  <c r="A900" i="5"/>
  <c r="A899" i="5"/>
  <c r="A898" i="5"/>
  <c r="A897" i="5"/>
  <c r="A896" i="5"/>
  <c r="A895" i="5"/>
  <c r="A894" i="5"/>
  <c r="A893" i="5"/>
  <c r="A892" i="5"/>
  <c r="A891" i="5"/>
  <c r="A890" i="5"/>
  <c r="A889" i="5"/>
  <c r="A888" i="5"/>
  <c r="A887" i="5"/>
  <c r="A886" i="5"/>
  <c r="A885" i="5"/>
  <c r="A884" i="5"/>
  <c r="A883" i="5"/>
  <c r="A882" i="5"/>
  <c r="A881" i="5"/>
  <c r="A880" i="5"/>
  <c r="A879" i="5"/>
  <c r="A878" i="5"/>
  <c r="A877" i="5"/>
  <c r="A876" i="5"/>
  <c r="A875" i="5"/>
  <c r="A874" i="5"/>
  <c r="A873" i="5"/>
  <c r="A872" i="5"/>
  <c r="A871" i="5"/>
  <c r="A870" i="5"/>
  <c r="A869" i="5"/>
  <c r="A868" i="5"/>
  <c r="A867" i="5"/>
  <c r="A866" i="5"/>
  <c r="A865" i="5"/>
  <c r="A864" i="5"/>
  <c r="A863" i="5"/>
  <c r="A862" i="5"/>
  <c r="A861" i="5"/>
  <c r="A860" i="5"/>
  <c r="A859" i="5"/>
  <c r="A858" i="5"/>
  <c r="A857" i="5"/>
  <c r="A856" i="5"/>
  <c r="A855" i="5"/>
  <c r="A854" i="5"/>
  <c r="A853" i="5"/>
  <c r="A852" i="5"/>
  <c r="A851" i="5"/>
  <c r="A850" i="5"/>
  <c r="A849" i="5"/>
  <c r="A848" i="5"/>
  <c r="A847" i="5"/>
  <c r="A846" i="5"/>
  <c r="A845" i="5"/>
  <c r="A844" i="5"/>
  <c r="A843" i="5"/>
  <c r="A842" i="5"/>
  <c r="A841" i="5"/>
  <c r="A840" i="5"/>
  <c r="A839" i="5"/>
  <c r="A838" i="5"/>
  <c r="A837" i="5"/>
  <c r="A836" i="5"/>
  <c r="A835" i="5"/>
  <c r="A834" i="5"/>
  <c r="A833" i="5"/>
  <c r="A832" i="5"/>
  <c r="A831" i="5"/>
  <c r="A830" i="5"/>
  <c r="A829" i="5"/>
  <c r="A828" i="5"/>
  <c r="A827" i="5"/>
  <c r="A826" i="5"/>
  <c r="A825" i="5"/>
  <c r="A824" i="5"/>
  <c r="A823" i="5"/>
  <c r="A822" i="5"/>
  <c r="A821" i="5"/>
  <c r="A820" i="5"/>
  <c r="A819" i="5"/>
  <c r="A818" i="5"/>
  <c r="A817" i="5"/>
  <c r="A816" i="5"/>
  <c r="A815" i="5"/>
  <c r="A814" i="5"/>
  <c r="A813" i="5"/>
  <c r="A812" i="5"/>
  <c r="A811" i="5"/>
  <c r="A810" i="5"/>
  <c r="A809" i="5"/>
  <c r="A808" i="5"/>
  <c r="A807" i="5"/>
  <c r="A806" i="5"/>
  <c r="A805" i="5"/>
  <c r="A804" i="5"/>
  <c r="A803" i="5"/>
  <c r="A802" i="5"/>
  <c r="A801" i="5"/>
  <c r="A800" i="5"/>
  <c r="A799" i="5"/>
  <c r="A798" i="5"/>
  <c r="A797" i="5"/>
  <c r="A796" i="5"/>
  <c r="A795" i="5"/>
  <c r="A794" i="5"/>
  <c r="A793" i="5"/>
  <c r="A792" i="5"/>
  <c r="A791" i="5"/>
  <c r="A790" i="5"/>
  <c r="A789" i="5"/>
  <c r="A788" i="5"/>
  <c r="A787" i="5"/>
  <c r="A786" i="5"/>
  <c r="A785" i="5"/>
  <c r="A784" i="5"/>
  <c r="A783" i="5"/>
  <c r="A782" i="5"/>
  <c r="A781" i="5"/>
  <c r="A780" i="5"/>
  <c r="A779" i="5"/>
  <c r="A778" i="5"/>
  <c r="A777" i="5"/>
  <c r="A776" i="5"/>
  <c r="A775" i="5"/>
  <c r="A774" i="5"/>
  <c r="A773" i="5"/>
  <c r="A772" i="5"/>
  <c r="A771" i="5"/>
  <c r="A770" i="5"/>
  <c r="A769" i="5"/>
  <c r="A768" i="5"/>
  <c r="A767" i="5"/>
  <c r="A766" i="5"/>
  <c r="A765" i="5"/>
  <c r="A764" i="5"/>
  <c r="A763" i="5"/>
  <c r="A762" i="5"/>
  <c r="A761" i="5"/>
  <c r="A760" i="5"/>
  <c r="A759" i="5"/>
  <c r="A758" i="5"/>
  <c r="A757" i="5"/>
  <c r="A756" i="5"/>
  <c r="A755" i="5"/>
  <c r="A754" i="5"/>
  <c r="A753" i="5"/>
  <c r="A752" i="5"/>
  <c r="A751" i="5"/>
  <c r="A750" i="5"/>
  <c r="A749" i="5"/>
  <c r="A748" i="5"/>
  <c r="A747" i="5"/>
  <c r="A746" i="5"/>
  <c r="A745" i="5"/>
  <c r="A744" i="5"/>
  <c r="A743" i="5"/>
  <c r="A742" i="5"/>
  <c r="A741" i="5"/>
  <c r="A740" i="5"/>
  <c r="A739" i="5"/>
  <c r="A738" i="5"/>
  <c r="A737" i="5"/>
  <c r="A736" i="5"/>
  <c r="A735" i="5"/>
  <c r="A734" i="5"/>
  <c r="A733" i="5"/>
  <c r="A732" i="5"/>
  <c r="A731" i="5"/>
  <c r="A730" i="5"/>
  <c r="A729" i="5"/>
  <c r="A728" i="5"/>
  <c r="A727" i="5"/>
  <c r="A726" i="5"/>
  <c r="A725" i="5"/>
  <c r="A724" i="5"/>
  <c r="A723" i="5"/>
  <c r="A722" i="5"/>
  <c r="A721" i="5"/>
  <c r="A720" i="5"/>
  <c r="A719" i="5"/>
  <c r="A718" i="5"/>
  <c r="A717" i="5"/>
  <c r="A716" i="5"/>
  <c r="A715" i="5"/>
  <c r="A714" i="5"/>
  <c r="A713" i="5"/>
  <c r="A712" i="5"/>
  <c r="A711" i="5"/>
  <c r="A710" i="5"/>
  <c r="A709" i="5"/>
  <c r="A708" i="5"/>
  <c r="A707" i="5"/>
  <c r="A706" i="5"/>
  <c r="A705" i="5"/>
  <c r="A704" i="5"/>
  <c r="A703" i="5"/>
  <c r="A702" i="5"/>
  <c r="A701" i="5"/>
  <c r="A700" i="5"/>
  <c r="A699" i="5"/>
  <c r="A698" i="5"/>
  <c r="A697" i="5"/>
  <c r="A696" i="5"/>
  <c r="A695" i="5"/>
  <c r="A694" i="5"/>
  <c r="A693" i="5"/>
  <c r="A692" i="5"/>
  <c r="A691" i="5"/>
  <c r="A690" i="5"/>
  <c r="A689" i="5"/>
  <c r="A688" i="5"/>
  <c r="A687" i="5"/>
  <c r="A686" i="5"/>
  <c r="A685" i="5"/>
  <c r="A684" i="5"/>
  <c r="A683" i="5"/>
  <c r="A682" i="5"/>
  <c r="A681" i="5"/>
  <c r="A680" i="5"/>
  <c r="A679" i="5"/>
  <c r="A678" i="5"/>
  <c r="A677" i="5"/>
  <c r="A676" i="5"/>
  <c r="A675" i="5"/>
  <c r="A674" i="5"/>
  <c r="A673" i="5"/>
  <c r="A672" i="5"/>
  <c r="A671" i="5"/>
  <c r="A670" i="5"/>
  <c r="A669" i="5"/>
  <c r="A668" i="5"/>
  <c r="A667" i="5"/>
  <c r="A666" i="5"/>
  <c r="A665" i="5"/>
  <c r="A664" i="5"/>
  <c r="A663" i="5"/>
  <c r="A662" i="5"/>
  <c r="A661" i="5"/>
  <c r="A660" i="5"/>
  <c r="A659" i="5"/>
  <c r="A658" i="5"/>
  <c r="A657" i="5"/>
  <c r="A656" i="5"/>
  <c r="A655" i="5"/>
  <c r="A654" i="5"/>
  <c r="A653" i="5"/>
  <c r="A652" i="5"/>
  <c r="A651" i="5"/>
  <c r="A650" i="5"/>
  <c r="A649" i="5"/>
  <c r="A648" i="5"/>
  <c r="A647" i="5"/>
  <c r="A646" i="5"/>
  <c r="A645" i="5"/>
  <c r="A644" i="5"/>
  <c r="A643" i="5"/>
  <c r="A642" i="5"/>
  <c r="A641" i="5"/>
  <c r="A640" i="5"/>
  <c r="A639" i="5"/>
  <c r="A638" i="5"/>
  <c r="A637" i="5"/>
  <c r="A636" i="5"/>
  <c r="A635" i="5"/>
  <c r="A634" i="5"/>
  <c r="A633" i="5"/>
  <c r="A632" i="5"/>
  <c r="A631" i="5"/>
  <c r="A630" i="5"/>
  <c r="A629" i="5"/>
  <c r="A628" i="5"/>
  <c r="A627" i="5"/>
  <c r="A626" i="5"/>
  <c r="A625" i="5"/>
  <c r="A624" i="5"/>
  <c r="A623" i="5"/>
  <c r="A622" i="5"/>
  <c r="A621" i="5"/>
  <c r="A620" i="5"/>
  <c r="A619" i="5"/>
  <c r="A618" i="5"/>
  <c r="A617" i="5"/>
  <c r="A616" i="5"/>
  <c r="A615" i="5"/>
  <c r="A614" i="5"/>
  <c r="A613" i="5"/>
  <c r="A612" i="5"/>
  <c r="A611" i="5"/>
  <c r="A610" i="5"/>
  <c r="A609" i="5"/>
  <c r="A608" i="5"/>
  <c r="A607" i="5"/>
  <c r="A606" i="5"/>
  <c r="A605" i="5"/>
  <c r="A604" i="5"/>
  <c r="A603" i="5"/>
  <c r="A602" i="5"/>
  <c r="A601" i="5"/>
  <c r="A600" i="5"/>
  <c r="A599" i="5"/>
  <c r="A598" i="5"/>
  <c r="A597" i="5"/>
  <c r="A596" i="5"/>
  <c r="A595" i="5"/>
  <c r="A594" i="5"/>
  <c r="A593" i="5"/>
  <c r="A592" i="5"/>
  <c r="A591" i="5"/>
  <c r="A590" i="5"/>
  <c r="A589" i="5"/>
  <c r="A588" i="5"/>
  <c r="A587" i="5"/>
  <c r="A586" i="5"/>
  <c r="A585" i="5"/>
  <c r="A584" i="5"/>
  <c r="A583" i="5"/>
  <c r="A582" i="5"/>
  <c r="A581" i="5"/>
  <c r="A580" i="5"/>
  <c r="A579" i="5"/>
  <c r="A578" i="5"/>
  <c r="A577" i="5"/>
  <c r="A576" i="5"/>
  <c r="A575" i="5"/>
  <c r="A574" i="5"/>
  <c r="A573" i="5"/>
  <c r="A572" i="5"/>
  <c r="A571" i="5"/>
  <c r="A570" i="5"/>
  <c r="A569" i="5"/>
  <c r="A568" i="5"/>
  <c r="A567" i="5"/>
  <c r="A566" i="5"/>
  <c r="A565" i="5"/>
  <c r="A564" i="5"/>
  <c r="A563" i="5"/>
  <c r="A562" i="5"/>
  <c r="A561" i="5"/>
  <c r="A560" i="5"/>
  <c r="A559" i="5"/>
  <c r="A558" i="5"/>
  <c r="A557" i="5"/>
  <c r="A556" i="5"/>
  <c r="A555" i="5"/>
  <c r="A554" i="5"/>
  <c r="A553" i="5"/>
  <c r="A552" i="5"/>
  <c r="A551" i="5"/>
  <c r="A550" i="5"/>
  <c r="A549" i="5"/>
  <c r="A548" i="5"/>
  <c r="A547" i="5"/>
  <c r="A546" i="5"/>
  <c r="A545" i="5"/>
  <c r="A544" i="5"/>
  <c r="A543" i="5"/>
  <c r="A542" i="5"/>
  <c r="A541" i="5"/>
  <c r="A540" i="5"/>
  <c r="A539" i="5"/>
  <c r="A538" i="5"/>
  <c r="A537" i="5"/>
  <c r="A536" i="5"/>
  <c r="A535" i="5"/>
  <c r="A534" i="5"/>
  <c r="A533" i="5"/>
  <c r="A532" i="5"/>
  <c r="A531" i="5"/>
  <c r="A530" i="5"/>
  <c r="A529" i="5"/>
  <c r="A528" i="5"/>
  <c r="A527" i="5"/>
  <c r="A526" i="5"/>
  <c r="A525" i="5"/>
  <c r="A524" i="5"/>
  <c r="A523" i="5"/>
  <c r="A522" i="5"/>
  <c r="A521" i="5"/>
  <c r="A520" i="5"/>
  <c r="A519" i="5"/>
  <c r="A518" i="5"/>
  <c r="A517" i="5"/>
  <c r="A516" i="5"/>
  <c r="A515" i="5"/>
  <c r="A514" i="5"/>
  <c r="A513" i="5"/>
  <c r="A512" i="5"/>
  <c r="A511" i="5"/>
  <c r="A510" i="5"/>
  <c r="A509" i="5"/>
  <c r="A508" i="5"/>
  <c r="A507" i="5"/>
  <c r="A506" i="5"/>
  <c r="A505" i="5"/>
  <c r="A504" i="5"/>
  <c r="A503" i="5"/>
  <c r="A502" i="5"/>
  <c r="A501" i="5"/>
  <c r="A500" i="5"/>
  <c r="A499" i="5"/>
  <c r="A498" i="5"/>
  <c r="A497" i="5"/>
  <c r="A496" i="5"/>
  <c r="A495" i="5"/>
  <c r="A494" i="5"/>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A3" i="5"/>
  <c r="A2" i="5"/>
  <c r="N683" i="5" l="1"/>
  <c r="N682" i="5"/>
  <c r="N680" i="5"/>
  <c r="N676" i="5"/>
  <c r="N667" i="5"/>
  <c r="N666" i="5"/>
  <c r="N660" i="5"/>
  <c r="N656" i="5"/>
  <c r="N201" i="5"/>
  <c r="N194" i="5"/>
  <c r="N193" i="5"/>
  <c r="N183" i="5"/>
  <c r="N182" i="5"/>
  <c r="N120" i="5"/>
  <c r="N119" i="5"/>
  <c r="B2" i="3"/>
  <c r="K998" i="5"/>
  <c r="K994" i="5"/>
  <c r="K992" i="5"/>
  <c r="K988" i="5"/>
  <c r="K986" i="5"/>
  <c r="K999" i="5"/>
  <c r="K991" i="5"/>
  <c r="K983" i="5"/>
  <c r="K982" i="5"/>
  <c r="K976" i="5"/>
  <c r="K974" i="5"/>
  <c r="K972" i="5"/>
  <c r="K995" i="5"/>
  <c r="K987" i="5"/>
  <c r="K975" i="5"/>
  <c r="K989" i="5"/>
  <c r="K977" i="5"/>
  <c r="K969" i="5"/>
  <c r="K967" i="5"/>
  <c r="K965" i="5"/>
  <c r="K963" i="5"/>
  <c r="K961" i="5"/>
  <c r="K957" i="5"/>
  <c r="K955" i="5"/>
  <c r="K953" i="5"/>
  <c r="K951" i="5"/>
  <c r="K941" i="5"/>
  <c r="K939" i="5"/>
  <c r="K993" i="5"/>
  <c r="K985" i="5"/>
  <c r="K968" i="5"/>
  <c r="K956" i="5"/>
  <c r="K948" i="5"/>
  <c r="K981" i="5"/>
  <c r="K973" i="5"/>
  <c r="K966" i="5"/>
  <c r="K962" i="5"/>
  <c r="K979" i="5"/>
  <c r="K971" i="5"/>
  <c r="K944" i="5"/>
  <c r="K937" i="5"/>
  <c r="K933" i="5"/>
  <c r="K958" i="5"/>
  <c r="K950" i="5"/>
  <c r="K938" i="5"/>
  <c r="K960" i="5"/>
  <c r="K930" i="5"/>
  <c r="K926" i="5"/>
  <c r="K920" i="5"/>
  <c r="K918" i="5"/>
  <c r="K916" i="5"/>
  <c r="K914" i="5"/>
  <c r="K912" i="5"/>
  <c r="K910" i="5"/>
  <c r="K908" i="5"/>
  <c r="K906" i="5"/>
  <c r="K902" i="5"/>
  <c r="K900" i="5"/>
  <c r="K896" i="5"/>
  <c r="K894" i="5"/>
  <c r="K890" i="5"/>
  <c r="K888" i="5"/>
  <c r="K886" i="5"/>
  <c r="K880" i="5"/>
  <c r="K878" i="5"/>
  <c r="K876" i="5"/>
  <c r="K874" i="5"/>
  <c r="K872" i="5"/>
  <c r="K868" i="5"/>
  <c r="K864" i="5"/>
  <c r="K862" i="5"/>
  <c r="K860" i="5"/>
  <c r="K942" i="5"/>
  <c r="K934" i="5"/>
  <c r="K899" i="5"/>
  <c r="K883" i="5"/>
  <c r="K867" i="5"/>
  <c r="K927" i="5"/>
  <c r="K923" i="5"/>
  <c r="K919" i="5"/>
  <c r="K915" i="5"/>
  <c r="K909" i="5"/>
  <c r="K901" i="5"/>
  <c r="K893" i="5"/>
  <c r="K885" i="5"/>
  <c r="K869" i="5"/>
  <c r="K861" i="5"/>
  <c r="K859" i="5"/>
  <c r="K857" i="5"/>
  <c r="K855" i="5"/>
  <c r="K853" i="5"/>
  <c r="K849" i="5"/>
  <c r="K847" i="5"/>
  <c r="K845" i="5"/>
  <c r="K843" i="5"/>
  <c r="K841" i="5"/>
  <c r="K837" i="5"/>
  <c r="K835" i="5"/>
  <c r="K831" i="5"/>
  <c r="K829" i="5"/>
  <c r="K825" i="5"/>
  <c r="K823" i="5"/>
  <c r="K819" i="5"/>
  <c r="K817" i="5"/>
  <c r="K815" i="5"/>
  <c r="K811" i="5"/>
  <c r="K805" i="5"/>
  <c r="K801" i="5"/>
  <c r="K799" i="5"/>
  <c r="K797" i="5"/>
  <c r="K793" i="5"/>
  <c r="K791" i="5"/>
  <c r="K789" i="5"/>
  <c r="K787" i="5"/>
  <c r="K783" i="5"/>
  <c r="K781" i="5"/>
  <c r="K779" i="5"/>
  <c r="K777" i="5"/>
  <c r="K775" i="5"/>
  <c r="K769" i="5"/>
  <c r="K767" i="5"/>
  <c r="K765" i="5"/>
  <c r="K761" i="5"/>
  <c r="K759" i="5"/>
  <c r="K757" i="5"/>
  <c r="K755" i="5"/>
  <c r="K749" i="5"/>
  <c r="K745" i="5"/>
  <c r="K743" i="5"/>
  <c r="K739" i="5"/>
  <c r="K735" i="5"/>
  <c r="K733" i="5"/>
  <c r="K731" i="5"/>
  <c r="K903" i="5"/>
  <c r="K887" i="5"/>
  <c r="K897" i="5"/>
  <c r="K852" i="5"/>
  <c r="K848" i="5"/>
  <c r="K836" i="5"/>
  <c r="K832" i="5"/>
  <c r="K828" i="5"/>
  <c r="K818" i="5"/>
  <c r="K810" i="5"/>
  <c r="K802" i="5"/>
  <c r="K794" i="5"/>
  <c r="K786" i="5"/>
  <c r="K778" i="5"/>
  <c r="K770" i="5"/>
  <c r="K762" i="5"/>
  <c r="K754" i="5"/>
  <c r="K954" i="5"/>
  <c r="K936" i="5"/>
  <c r="K925" i="5"/>
  <c r="K917" i="5"/>
  <c r="K873" i="5"/>
  <c r="K820" i="5"/>
  <c r="K812" i="5"/>
  <c r="K804" i="5"/>
  <c r="K796" i="5"/>
  <c r="K788" i="5"/>
  <c r="K780" i="5"/>
  <c r="K772" i="5"/>
  <c r="K764" i="5"/>
  <c r="K871" i="5"/>
  <c r="K863" i="5"/>
  <c r="K858" i="5"/>
  <c r="K846" i="5"/>
  <c r="K842" i="5"/>
  <c r="K838" i="5"/>
  <c r="K834" i="5"/>
  <c r="K830" i="5"/>
  <c r="K826" i="5"/>
  <c r="K822" i="5"/>
  <c r="K814" i="5"/>
  <c r="K806" i="5"/>
  <c r="K798" i="5"/>
  <c r="K946" i="5"/>
  <c r="K921" i="5"/>
  <c r="K742" i="5"/>
  <c r="K734" i="5"/>
  <c r="K729" i="5"/>
  <c r="K727" i="5"/>
  <c r="K723" i="5"/>
  <c r="K719" i="5"/>
  <c r="K717" i="5"/>
  <c r="K792" i="5"/>
  <c r="K784" i="5"/>
  <c r="K776" i="5"/>
  <c r="K768" i="5"/>
  <c r="K760" i="5"/>
  <c r="K816" i="5"/>
  <c r="K808" i="5"/>
  <c r="K800" i="5"/>
  <c r="K790" i="5"/>
  <c r="K782" i="5"/>
  <c r="K774" i="5"/>
  <c r="K766" i="5"/>
  <c r="K758" i="5"/>
  <c r="K746" i="5"/>
  <c r="K738" i="5"/>
  <c r="K730" i="5"/>
  <c r="K728" i="5"/>
  <c r="K726" i="5"/>
  <c r="K724" i="5"/>
  <c r="K722" i="5"/>
  <c r="K720" i="5"/>
  <c r="K716" i="5"/>
  <c r="K714" i="5"/>
  <c r="K712" i="5"/>
  <c r="K750" i="5"/>
  <c r="K748" i="5"/>
  <c r="K740" i="5"/>
  <c r="K736" i="5"/>
  <c r="K879" i="5"/>
  <c r="K710" i="5"/>
  <c r="K708" i="5"/>
  <c r="K706" i="5"/>
  <c r="K704" i="5"/>
  <c r="K702" i="5"/>
  <c r="K700" i="5"/>
  <c r="K698" i="5"/>
  <c r="K696" i="5"/>
  <c r="K694" i="5"/>
  <c r="K692" i="5"/>
  <c r="K690" i="5"/>
  <c r="K688" i="5"/>
  <c r="K686" i="5"/>
  <c r="K684" i="5"/>
  <c r="K678" i="5"/>
  <c r="K674" i="5"/>
  <c r="K672" i="5"/>
  <c r="K670" i="5"/>
  <c r="K668" i="5"/>
  <c r="K664" i="5"/>
  <c r="K662" i="5"/>
  <c r="K658" i="5"/>
  <c r="K633" i="5"/>
  <c r="K631" i="5"/>
  <c r="K629" i="5"/>
  <c r="K627" i="5"/>
  <c r="K623" i="5"/>
  <c r="K621" i="5"/>
  <c r="K617" i="5"/>
  <c r="K615" i="5"/>
  <c r="K613" i="5"/>
  <c r="K611" i="5"/>
  <c r="K609" i="5"/>
  <c r="K607" i="5"/>
  <c r="K603" i="5"/>
  <c r="K601" i="5"/>
  <c r="K599" i="5"/>
  <c r="K595" i="5"/>
  <c r="K593" i="5"/>
  <c r="K591" i="5"/>
  <c r="K585" i="5"/>
  <c r="K581" i="5"/>
  <c r="K579" i="5"/>
  <c r="K577" i="5"/>
  <c r="K573" i="5"/>
  <c r="K571" i="5"/>
  <c r="K707" i="5"/>
  <c r="K703" i="5"/>
  <c r="K699" i="5"/>
  <c r="K695" i="5"/>
  <c r="K691" i="5"/>
  <c r="K687" i="5"/>
  <c r="K679" i="5"/>
  <c r="K675" i="5"/>
  <c r="K671" i="5"/>
  <c r="K663" i="5"/>
  <c r="K659" i="5"/>
  <c r="K655" i="5"/>
  <c r="K654" i="5"/>
  <c r="K653" i="5"/>
  <c r="K652" i="5"/>
  <c r="K651" i="5"/>
  <c r="K650" i="5"/>
  <c r="K649" i="5"/>
  <c r="K648" i="5"/>
  <c r="K647" i="5"/>
  <c r="K646" i="5"/>
  <c r="K644" i="5"/>
  <c r="K643" i="5"/>
  <c r="K641" i="5"/>
  <c r="K640" i="5"/>
  <c r="K639" i="5"/>
  <c r="K638" i="5"/>
  <c r="K637" i="5"/>
  <c r="K636" i="5"/>
  <c r="K635" i="5"/>
  <c r="K681" i="5"/>
  <c r="K665" i="5"/>
  <c r="K630" i="5"/>
  <c r="K616" i="5"/>
  <c r="K608" i="5"/>
  <c r="K600" i="5"/>
  <c r="K584" i="5"/>
  <c r="K576" i="5"/>
  <c r="K569" i="5"/>
  <c r="K559" i="5"/>
  <c r="K557" i="5"/>
  <c r="K555" i="5"/>
  <c r="K551" i="5"/>
  <c r="K549" i="5"/>
  <c r="K547" i="5"/>
  <c r="K545" i="5"/>
  <c r="K541" i="5"/>
  <c r="K535" i="5"/>
  <c r="K533" i="5"/>
  <c r="K531" i="5"/>
  <c r="K529" i="5"/>
  <c r="K527" i="5"/>
  <c r="K525" i="5"/>
  <c r="K521" i="5"/>
  <c r="K519" i="5"/>
  <c r="K517" i="5"/>
  <c r="K515" i="5"/>
  <c r="K513" i="5"/>
  <c r="K511" i="5"/>
  <c r="K509" i="5"/>
  <c r="K507" i="5"/>
  <c r="K505" i="5"/>
  <c r="K499" i="5"/>
  <c r="K495" i="5"/>
  <c r="K493" i="5"/>
  <c r="K491" i="5"/>
  <c r="K489" i="5"/>
  <c r="K487" i="5"/>
  <c r="K485" i="5"/>
  <c r="K483" i="5"/>
  <c r="K481" i="5"/>
  <c r="K479" i="5"/>
  <c r="K477" i="5"/>
  <c r="K475" i="5"/>
  <c r="K473" i="5"/>
  <c r="K469" i="5"/>
  <c r="K467" i="5"/>
  <c r="K461" i="5"/>
  <c r="K459" i="5"/>
  <c r="K457" i="5"/>
  <c r="K455" i="5"/>
  <c r="K453" i="5"/>
  <c r="K451" i="5"/>
  <c r="K449" i="5"/>
  <c r="K445" i="5"/>
  <c r="K709" i="5"/>
  <c r="K693" i="5"/>
  <c r="K677" i="5"/>
  <c r="K661" i="5"/>
  <c r="K618" i="5"/>
  <c r="K602" i="5"/>
  <c r="K594" i="5"/>
  <c r="K586" i="5"/>
  <c r="K578" i="5"/>
  <c r="K705" i="5"/>
  <c r="K673" i="5"/>
  <c r="K657" i="5"/>
  <c r="K634" i="5"/>
  <c r="K626" i="5"/>
  <c r="K620" i="5"/>
  <c r="K604" i="5"/>
  <c r="K701" i="5"/>
  <c r="K624" i="5"/>
  <c r="K606" i="5"/>
  <c r="K570" i="5"/>
  <c r="K554" i="5"/>
  <c r="K546" i="5"/>
  <c r="K536" i="5"/>
  <c r="K528" i="5"/>
  <c r="K520" i="5"/>
  <c r="K512" i="5"/>
  <c r="K504" i="5"/>
  <c r="K496" i="5"/>
  <c r="K488" i="5"/>
  <c r="K568" i="5"/>
  <c r="K544" i="5"/>
  <c r="K538" i="5"/>
  <c r="K530" i="5"/>
  <c r="K522" i="5"/>
  <c r="K466" i="5"/>
  <c r="K450" i="5"/>
  <c r="K444" i="5"/>
  <c r="K440" i="5"/>
  <c r="K438" i="5"/>
  <c r="K436" i="5"/>
  <c r="K434" i="5"/>
  <c r="K432" i="5"/>
  <c r="K426" i="5"/>
  <c r="K424" i="5"/>
  <c r="K422" i="5"/>
  <c r="K418" i="5"/>
  <c r="K416" i="5"/>
  <c r="K414" i="5"/>
  <c r="K412" i="5"/>
  <c r="K408" i="5"/>
  <c r="K406" i="5"/>
  <c r="K402" i="5"/>
  <c r="K400" i="5"/>
  <c r="K398" i="5"/>
  <c r="K396" i="5"/>
  <c r="K394" i="5"/>
  <c r="K392" i="5"/>
  <c r="K386" i="5"/>
  <c r="K380" i="5"/>
  <c r="K376" i="5"/>
  <c r="K374" i="5"/>
  <c r="K372" i="5"/>
  <c r="K366" i="5"/>
  <c r="K364" i="5"/>
  <c r="K362" i="5"/>
  <c r="K360" i="5"/>
  <c r="K358" i="5"/>
  <c r="K356" i="5"/>
  <c r="K352" i="5"/>
  <c r="K350" i="5"/>
  <c r="K348" i="5"/>
  <c r="K346" i="5"/>
  <c r="K344" i="5"/>
  <c r="K340" i="5"/>
  <c r="K336" i="5"/>
  <c r="K334" i="5"/>
  <c r="K330" i="5"/>
  <c r="K326" i="5"/>
  <c r="K320" i="5"/>
  <c r="K316" i="5"/>
  <c r="K314" i="5"/>
  <c r="K308" i="5"/>
  <c r="K304" i="5"/>
  <c r="K300" i="5"/>
  <c r="K296" i="5"/>
  <c r="K294" i="5"/>
  <c r="K288" i="5"/>
  <c r="K286" i="5"/>
  <c r="K284" i="5"/>
  <c r="K282" i="5"/>
  <c r="K280" i="5"/>
  <c r="K278" i="5"/>
  <c r="K274" i="5"/>
  <c r="K270" i="5"/>
  <c r="K264" i="5"/>
  <c r="K262" i="5"/>
  <c r="K260" i="5"/>
  <c r="K256" i="5"/>
  <c r="K254" i="5"/>
  <c r="K252" i="5"/>
  <c r="K250" i="5"/>
  <c r="K248" i="5"/>
  <c r="K246" i="5"/>
  <c r="K244" i="5"/>
  <c r="K242" i="5"/>
  <c r="K240" i="5"/>
  <c r="K238" i="5"/>
  <c r="K236" i="5"/>
  <c r="K234" i="5"/>
  <c r="K232" i="5"/>
  <c r="K230" i="5"/>
  <c r="K228" i="5"/>
  <c r="K226" i="5"/>
  <c r="K224" i="5"/>
  <c r="K220" i="5"/>
  <c r="K218" i="5"/>
  <c r="K216" i="5"/>
  <c r="K212" i="5"/>
  <c r="K210" i="5"/>
  <c r="K204" i="5"/>
  <c r="K198" i="5"/>
  <c r="K196" i="5"/>
  <c r="K192" i="5"/>
  <c r="K190" i="5"/>
  <c r="K188" i="5"/>
  <c r="K186" i="5"/>
  <c r="K184" i="5"/>
  <c r="K180" i="5"/>
  <c r="K669" i="5"/>
  <c r="K632" i="5"/>
  <c r="K598" i="5"/>
  <c r="K590" i="5"/>
  <c r="K582" i="5"/>
  <c r="K574" i="5"/>
  <c r="K566" i="5"/>
  <c r="K558" i="5"/>
  <c r="K540" i="5"/>
  <c r="K532" i="5"/>
  <c r="K524" i="5"/>
  <c r="K516" i="5"/>
  <c r="K484" i="5"/>
  <c r="K476" i="5"/>
  <c r="K468" i="5"/>
  <c r="K460" i="5"/>
  <c r="K452" i="5"/>
  <c r="K596" i="5"/>
  <c r="K588" i="5"/>
  <c r="K580" i="5"/>
  <c r="K572" i="5"/>
  <c r="K556" i="5"/>
  <c r="K542" i="5"/>
  <c r="K534" i="5"/>
  <c r="K526" i="5"/>
  <c r="K518" i="5"/>
  <c r="K510" i="5"/>
  <c r="K494" i="5"/>
  <c r="K478" i="5"/>
  <c r="K454" i="5"/>
  <c r="K446" i="5"/>
  <c r="K443" i="5"/>
  <c r="K441" i="5"/>
  <c r="K439" i="5"/>
  <c r="K433" i="5"/>
  <c r="K431" i="5"/>
  <c r="K429" i="5"/>
  <c r="K425" i="5"/>
  <c r="K423" i="5"/>
  <c r="K421" i="5"/>
  <c r="K419" i="5"/>
  <c r="K417" i="5"/>
  <c r="K413" i="5"/>
  <c r="K411" i="5"/>
  <c r="K409" i="5"/>
  <c r="K407" i="5"/>
  <c r="K405" i="5"/>
  <c r="K403" i="5"/>
  <c r="K401" i="5"/>
  <c r="K399" i="5"/>
  <c r="K397" i="5"/>
  <c r="K395" i="5"/>
  <c r="K393" i="5"/>
  <c r="K391" i="5"/>
  <c r="K389" i="5"/>
  <c r="K387" i="5"/>
  <c r="K385" i="5"/>
  <c r="K383" i="5"/>
  <c r="K381" i="5"/>
  <c r="K379" i="5"/>
  <c r="K365" i="5"/>
  <c r="K357" i="5"/>
  <c r="K349" i="5"/>
  <c r="K341" i="5"/>
  <c r="K337" i="5"/>
  <c r="K329" i="5"/>
  <c r="K321" i="5"/>
  <c r="K305" i="5"/>
  <c r="K297" i="5"/>
  <c r="K281" i="5"/>
  <c r="K273" i="5"/>
  <c r="K347" i="5"/>
  <c r="K339" i="5"/>
  <c r="K331" i="5"/>
  <c r="K323" i="5"/>
  <c r="K315" i="5"/>
  <c r="K291" i="5"/>
  <c r="K267" i="5"/>
  <c r="K369" i="5"/>
  <c r="K345" i="5"/>
  <c r="K333" i="5"/>
  <c r="K325" i="5"/>
  <c r="K309" i="5"/>
  <c r="K301" i="5"/>
  <c r="K293" i="5"/>
  <c r="K285" i="5"/>
  <c r="K277" i="5"/>
  <c r="K261" i="5"/>
  <c r="K343" i="5"/>
  <c r="K335" i="5"/>
  <c r="K327" i="5"/>
  <c r="K319" i="5"/>
  <c r="K287" i="5"/>
  <c r="K279" i="5"/>
  <c r="K271" i="5"/>
  <c r="K231" i="5"/>
  <c r="K223" i="5"/>
  <c r="K215" i="5"/>
  <c r="K207" i="5"/>
  <c r="K191" i="5"/>
  <c r="K265" i="5"/>
  <c r="K257" i="5"/>
  <c r="K249" i="5"/>
  <c r="K241" i="5"/>
  <c r="K233" i="5"/>
  <c r="K217" i="5"/>
  <c r="K209" i="5"/>
  <c r="K185" i="5"/>
  <c r="K177" i="5"/>
  <c r="K175" i="5"/>
  <c r="K173" i="5"/>
  <c r="K171" i="5"/>
  <c r="K169" i="5"/>
  <c r="K165" i="5"/>
  <c r="K163" i="5"/>
  <c r="K151" i="5"/>
  <c r="K147" i="5"/>
  <c r="K145" i="5"/>
  <c r="K143" i="5"/>
  <c r="K141" i="5"/>
  <c r="K139" i="5"/>
  <c r="K137" i="5"/>
  <c r="K135" i="5"/>
  <c r="K133" i="5"/>
  <c r="K131" i="5"/>
  <c r="K129" i="5"/>
  <c r="K127" i="5"/>
  <c r="K123" i="5"/>
  <c r="K121" i="5"/>
  <c r="K117" i="5"/>
  <c r="K259" i="5"/>
  <c r="K251" i="5"/>
  <c r="K243" i="5"/>
  <c r="K235" i="5"/>
  <c r="K227" i="5"/>
  <c r="K219" i="5"/>
  <c r="K203" i="5"/>
  <c r="K195" i="5"/>
  <c r="K187" i="5"/>
  <c r="K253" i="5"/>
  <c r="K245" i="5"/>
  <c r="K229" i="5"/>
  <c r="K221" i="5"/>
  <c r="K213" i="5"/>
  <c r="K205" i="5"/>
  <c r="K197" i="5"/>
  <c r="K189" i="5"/>
  <c r="K181" i="5"/>
  <c r="K178" i="5"/>
  <c r="K176" i="5"/>
  <c r="K172" i="5"/>
  <c r="K170" i="5"/>
  <c r="K168" i="5"/>
  <c r="K166" i="5"/>
  <c r="K164" i="5"/>
  <c r="K162" i="5"/>
  <c r="K160" i="5"/>
  <c r="K156" i="5"/>
  <c r="K154" i="5"/>
  <c r="K152" i="5"/>
  <c r="K150" i="5"/>
  <c r="K148" i="5"/>
  <c r="K146" i="5"/>
  <c r="K144" i="5"/>
  <c r="K140" i="5"/>
  <c r="K138" i="5"/>
  <c r="K136" i="5"/>
  <c r="K134" i="5"/>
  <c r="K132" i="5"/>
  <c r="K130" i="5"/>
  <c r="K128" i="5"/>
  <c r="K124" i="5"/>
  <c r="K118" i="5"/>
  <c r="K116" i="5"/>
  <c r="K114" i="5"/>
  <c r="K112" i="5"/>
  <c r="K110" i="5"/>
  <c r="K106" i="5"/>
  <c r="K104" i="5"/>
  <c r="K100" i="5"/>
  <c r="K98" i="5"/>
  <c r="K96" i="5"/>
  <c r="K94" i="5"/>
  <c r="K88" i="5"/>
  <c r="K86" i="5"/>
  <c r="K84" i="5"/>
  <c r="K82" i="5"/>
  <c r="K80" i="5"/>
  <c r="K78" i="5"/>
  <c r="K76" i="5"/>
  <c r="K74" i="5"/>
  <c r="K72" i="5"/>
  <c r="K70" i="5"/>
  <c r="K68" i="5"/>
  <c r="K66" i="5"/>
  <c r="K64" i="5"/>
  <c r="K115" i="5"/>
  <c r="K113" i="5"/>
  <c r="K111" i="5"/>
  <c r="K109" i="5"/>
  <c r="K107" i="5"/>
  <c r="K105" i="5"/>
  <c r="K103" i="5"/>
  <c r="K101" i="5"/>
  <c r="K99" i="5"/>
  <c r="K97" i="5"/>
  <c r="K95" i="5"/>
  <c r="K93" i="5"/>
  <c r="K91" i="5"/>
  <c r="K89" i="5"/>
  <c r="K87" i="5"/>
  <c r="K85" i="5"/>
  <c r="K79" i="5"/>
  <c r="K77" i="5"/>
  <c r="K73" i="5"/>
  <c r="K71" i="5"/>
  <c r="K69" i="5"/>
  <c r="K67" i="5"/>
  <c r="K63" i="5"/>
  <c r="K59" i="5"/>
  <c r="K55" i="5"/>
  <c r="K53" i="5"/>
  <c r="K51" i="5"/>
  <c r="K50" i="5"/>
  <c r="K4" i="5"/>
  <c r="K8" i="5"/>
  <c r="K14" i="5"/>
  <c r="K16" i="5"/>
  <c r="K18" i="5"/>
  <c r="K20" i="5"/>
  <c r="K22" i="5"/>
  <c r="K24" i="5"/>
  <c r="K28" i="5"/>
  <c r="K30" i="5"/>
  <c r="K32" i="5"/>
  <c r="K34" i="5"/>
  <c r="K36" i="5"/>
  <c r="K40" i="5"/>
  <c r="K42" i="5"/>
  <c r="K44" i="5"/>
  <c r="K48" i="5"/>
  <c r="K54" i="5"/>
  <c r="K62" i="5"/>
  <c r="K3" i="5"/>
  <c r="K7" i="5"/>
  <c r="K11" i="5"/>
  <c r="K13" i="5"/>
  <c r="K15" i="5"/>
  <c r="K19" i="5"/>
  <c r="K25" i="5"/>
  <c r="K27" i="5"/>
  <c r="K33" i="5"/>
  <c r="K35" i="5"/>
  <c r="K37" i="5"/>
  <c r="K39" i="5"/>
  <c r="K41" i="5"/>
  <c r="K43" i="5"/>
  <c r="K45" i="5"/>
  <c r="K47" i="5"/>
  <c r="K60" i="5"/>
  <c r="A2" i="3" l="1"/>
  <c r="D2" i="3" s="1"/>
</calcChain>
</file>

<file path=xl/sharedStrings.xml><?xml version="1.0" encoding="utf-8"?>
<sst xmlns="http://schemas.openxmlformats.org/spreadsheetml/2006/main" count="6958" uniqueCount="139">
  <si>
    <t>Order ID</t>
  </si>
  <si>
    <t>Order Date</t>
  </si>
  <si>
    <t>City</t>
  </si>
  <si>
    <t>Region</t>
  </si>
  <si>
    <t>Product</t>
  </si>
  <si>
    <t>Category</t>
  </si>
  <si>
    <t>Quantity</t>
  </si>
  <si>
    <t>Unit Price</t>
  </si>
  <si>
    <t>Discount%</t>
  </si>
  <si>
    <t>Total Sales</t>
  </si>
  <si>
    <t>Sales person</t>
  </si>
  <si>
    <t>Payment Method</t>
  </si>
  <si>
    <t>Cities</t>
  </si>
  <si>
    <t>Categories</t>
  </si>
  <si>
    <t>Products</t>
  </si>
  <si>
    <t>Salespersons</t>
  </si>
  <si>
    <t>Payment Methods</t>
  </si>
  <si>
    <t>Karachi</t>
  </si>
  <si>
    <t>South</t>
  </si>
  <si>
    <t>Electronics</t>
  </si>
  <si>
    <t>Laptop</t>
  </si>
  <si>
    <t>Ali</t>
  </si>
  <si>
    <t>Cash</t>
  </si>
  <si>
    <t>Lahore</t>
  </si>
  <si>
    <t>Furniture</t>
  </si>
  <si>
    <t>Monitor</t>
  </si>
  <si>
    <t>Ahmed</t>
  </si>
  <si>
    <t>Debit Card</t>
  </si>
  <si>
    <t>Islamabad</t>
  </si>
  <si>
    <t>North</t>
  </si>
  <si>
    <t>Office Supplies</t>
  </si>
  <si>
    <t>Keyboard</t>
  </si>
  <si>
    <t>Ayesha</t>
  </si>
  <si>
    <t>Credit Card</t>
  </si>
  <si>
    <t>Rawalpindi</t>
  </si>
  <si>
    <t>West</t>
  </si>
  <si>
    <t>Mouse</t>
  </si>
  <si>
    <t>Fatima</t>
  </si>
  <si>
    <t>Bank Transfer</t>
  </si>
  <si>
    <t>Faisalabad</t>
  </si>
  <si>
    <t>Printer</t>
  </si>
  <si>
    <t>Hamza</t>
  </si>
  <si>
    <t>Peshawar</t>
  </si>
  <si>
    <t>Office Chair</t>
  </si>
  <si>
    <t>Bilal</t>
  </si>
  <si>
    <t>Multan</t>
  </si>
  <si>
    <t>Office Desk</t>
  </si>
  <si>
    <t>Zain</t>
  </si>
  <si>
    <t>Hyderabad</t>
  </si>
  <si>
    <t>Notebook</t>
  </si>
  <si>
    <t>Sara</t>
  </si>
  <si>
    <t>Quetta</t>
  </si>
  <si>
    <t>Printer Paper</t>
  </si>
  <si>
    <t>Usman</t>
  </si>
  <si>
    <t>Sialkot</t>
  </si>
  <si>
    <t>Calculator</t>
  </si>
  <si>
    <t>Hina</t>
  </si>
  <si>
    <t>USB Drive</t>
  </si>
  <si>
    <t>Headphones</t>
  </si>
  <si>
    <t>Ali Khan</t>
  </si>
  <si>
    <t>Ahmed Raza</t>
  </si>
  <si>
    <t>Ayesha Malik</t>
  </si>
  <si>
    <t>Fatima Noor</t>
  </si>
  <si>
    <t>Hamza Ali</t>
  </si>
  <si>
    <t>Sara Ahmed</t>
  </si>
  <si>
    <t>Usman Khan</t>
  </si>
  <si>
    <t>Hina Shah</t>
  </si>
  <si>
    <t>Bilal Ahmed</t>
  </si>
  <si>
    <t>Zain Malik</t>
  </si>
  <si>
    <t>Maham Khan</t>
  </si>
  <si>
    <t>Saad Raza</t>
  </si>
  <si>
    <t>Sana Ali</t>
  </si>
  <si>
    <t>Hassan Ahmed</t>
  </si>
  <si>
    <t>Iqra Khan</t>
  </si>
  <si>
    <t>Danish Malik</t>
  </si>
  <si>
    <t>Mariam Noor</t>
  </si>
  <si>
    <t>Talha Ahmed</t>
  </si>
  <si>
    <t>Laiba Khan</t>
  </si>
  <si>
    <t>Owais Raza</t>
  </si>
  <si>
    <t>East</t>
  </si>
  <si>
    <t>South East</t>
  </si>
  <si>
    <t>Total Orders</t>
  </si>
  <si>
    <t>Total Quantity</t>
  </si>
  <si>
    <t>Average Order Value</t>
  </si>
  <si>
    <t>Grand Total</t>
  </si>
  <si>
    <t>Sum of Total Sales</t>
  </si>
  <si>
    <t>Sales by Region</t>
  </si>
  <si>
    <t>Sales by Products</t>
  </si>
  <si>
    <t>Sales by SalesPerson Performance</t>
  </si>
  <si>
    <t>Aug</t>
  </si>
  <si>
    <t>Dec</t>
  </si>
  <si>
    <t>Sales by Months</t>
  </si>
  <si>
    <t>Years (Order Date)</t>
  </si>
  <si>
    <t>Months (Order Date)</t>
  </si>
  <si>
    <t>Total Quantity Sold</t>
  </si>
  <si>
    <t>SALES PERFORMANCE DASHBOARD</t>
  </si>
  <si>
    <t>2024</t>
  </si>
  <si>
    <t>2024 Total</t>
  </si>
  <si>
    <t>Sales Person</t>
  </si>
  <si>
    <t>Count of Order ID</t>
  </si>
  <si>
    <t>Total ID's</t>
  </si>
  <si>
    <t>Sum of Quantity</t>
  </si>
  <si>
    <t>Order's Sold</t>
  </si>
  <si>
    <t>Key Business Insights</t>
  </si>
  <si>
    <t>Business Recommendations</t>
  </si>
  <si>
    <t>Jul</t>
  </si>
  <si>
    <t>2025</t>
  </si>
  <si>
    <t>Apr</t>
  </si>
  <si>
    <t>Sep</t>
  </si>
  <si>
    <t>2025 Total</t>
  </si>
  <si>
    <t>Jan</t>
  </si>
  <si>
    <t>Feb</t>
  </si>
  <si>
    <t>Mar</t>
  </si>
  <si>
    <t>Jun</t>
  </si>
  <si>
    <t>Oct</t>
  </si>
  <si>
    <t>Nov</t>
  </si>
  <si>
    <t>May</t>
  </si>
  <si>
    <t>Customer Names</t>
  </si>
  <si>
    <t>Discount</t>
  </si>
  <si>
    <t>South West</t>
  </si>
  <si>
    <t>Customer Name</t>
  </si>
  <si>
    <t>Yearly Comparison: Sales decreased from 55.08 million in 2024 to 46.39 million in 2025, a decline of approximately 15.77%.</t>
  </si>
  <si>
    <t>Product Performance: Laptop generated the highest product sales at 36.22 million, while Calculator recorded the lowest at 0.53 million.</t>
  </si>
  <si>
    <t>Regional Performance: East was the top-performing region with sales of 20.61 million, while South recorded the lowest regional sales at 14.37 million.</t>
  </si>
  <si>
    <t>Salesperson Performance: Ali generated the highest sales at 16.25 million, while Sara recorded the lowest at 6.09 million.</t>
  </si>
  <si>
    <t>Monthly Trends: August was the highest-sales month in 2024, while January was the lowest. In 2025, July was the highest-sales month and June was the lowest.</t>
  </si>
  <si>
    <t>Investigate the Year-over-Year Sales Decline: Compare monthly, product, and regional sales across 2024 and 2025 to identify where performance declined and which areas need further investigation.</t>
  </si>
  <si>
    <t>Analyze Regional Performance: Study the sales patterns and product mix in East, the highest-performing region, and investigate demand, product availability, and sales coverage in South, the lowest-performing region.</t>
  </si>
  <si>
    <t>Review Product Performance: Monitor Laptop availability due to its highest sales and investigate Calculator's lower sales by reviewing customer demand, pricing, and sales volume before making inventory or promotional decisions.</t>
  </si>
  <si>
    <t>Study Monthly Sales Patterns: Compare the peak and lowest-sales months in 2024 and 2025 to investigate changes in monthly demand and support future sales planning.</t>
  </si>
  <si>
    <t>Monitor Salesperson Performance: Review Ali's sales performance to identify potentially useful sales practices and assess Sara's results alongside targets, customer assignments, and product mix before recommending changes.</t>
  </si>
  <si>
    <t>Total Prices</t>
  </si>
  <si>
    <t>Price Status</t>
  </si>
  <si>
    <t>Sales by Category</t>
  </si>
  <si>
    <t>Category Performance: Electronics was the highest-selling category at 54.93 million, while Office Supplies recorded the lowest sales at 17.85 million.</t>
  </si>
  <si>
    <t>Interactive Dashboard: Slicers for Category, Month, Product, Region, and Salesperson allow users to explore sales performance dynamically. KPI cards update with the selected filters.</t>
  </si>
  <si>
    <t>Evaluate Category Performance: Examine the strong sales performance of Electronics and investigate the lower sales of Office Supplies to identify opportunities for improvement. Review product demand, pricing, and promotional strategies before making changes.</t>
  </si>
  <si>
    <t>Overall Performance: The dashboard recorded total sales of 101.47 million across 1,000 orders, with 5,479 units sold and an average order value of 101,465.86.</t>
  </si>
  <si>
    <t>Use Interactive Reporting for Decisions: Regularly use the dashboard's KPI cards and slicers to monitor sales, orders, quantity sold, and average order value across products, regions, months, categories, and salespersons.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</si>
</sst>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3" x14ac:knownFonts="1">
    <font>
      <sz val="11"/>
      <color theme="1"/>
      <name val="Calibri"/>
      <family val="2"/>
      <scheme val="minor"/>
    </font>
    <font>
      <b/>
      <sz val="11"/>
      <color theme="1"/>
      <name val="Calibri"/>
      <family val="2"/>
      <scheme val="minor"/>
    </font>
    <font>
      <sz val="11"/>
      <color theme="1"/>
      <name val="Calibri"/>
      <family val="2"/>
      <scheme val="minor"/>
    </font>
    <font>
      <b/>
      <sz val="16"/>
      <color theme="1"/>
      <name val="Calibri"/>
      <family val="2"/>
      <scheme val="minor"/>
    </font>
    <font>
      <sz val="16"/>
      <color theme="1"/>
      <name val="Calibri"/>
      <family val="2"/>
      <scheme val="minor"/>
    </font>
    <font>
      <b/>
      <i/>
      <u/>
      <sz val="22"/>
      <color theme="1"/>
      <name val="Calibri"/>
      <family val="2"/>
      <scheme val="minor"/>
    </font>
    <font>
      <b/>
      <sz val="12"/>
      <color theme="1"/>
      <name val="Calibri"/>
      <family val="2"/>
      <scheme val="minor"/>
    </font>
    <font>
      <b/>
      <sz val="11"/>
      <color theme="0"/>
      <name val="Calibri"/>
      <family val="2"/>
      <scheme val="minor"/>
    </font>
    <font>
      <sz val="11"/>
      <color theme="0"/>
      <name val="Calibri"/>
      <family val="2"/>
      <scheme val="minor"/>
    </font>
    <font>
      <b/>
      <i/>
      <sz val="18"/>
      <color theme="0"/>
      <name val="Calibri"/>
      <family val="2"/>
      <scheme val="minor"/>
    </font>
    <font>
      <sz val="20"/>
      <color theme="0"/>
      <name val="Calibri"/>
      <family val="2"/>
      <scheme val="minor"/>
    </font>
    <font>
      <sz val="11"/>
      <color theme="7" tint="-0.249977111117893"/>
      <name val="Calibri"/>
      <family val="2"/>
      <scheme val="minor"/>
    </font>
    <font>
      <b/>
      <i/>
      <u val="double"/>
      <sz val="18"/>
      <color theme="7" tint="-0.249977111117893"/>
      <name val="Calibri"/>
      <family val="2"/>
      <scheme val="minor"/>
    </font>
  </fonts>
  <fills count="12">
    <fill>
      <patternFill patternType="none"/>
    </fill>
    <fill>
      <patternFill patternType="gray125"/>
    </fill>
    <fill>
      <patternFill patternType="solid">
        <fgColor theme="8" tint="0.79998168889431442"/>
        <bgColor theme="8" tint="0.79998168889431442"/>
      </patternFill>
    </fill>
    <fill>
      <patternFill patternType="solid">
        <fgColor theme="7" tint="0.59999389629810485"/>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8"/>
        <bgColor theme="8"/>
      </patternFill>
    </fill>
    <fill>
      <patternFill patternType="solid">
        <fgColor theme="8" tint="0.59999389629810485"/>
        <bgColor theme="8" tint="0.59999389629810485"/>
      </patternFill>
    </fill>
    <fill>
      <patternFill patternType="solid">
        <fgColor theme="4" tint="-0.499984740745262"/>
        <bgColor indexed="64"/>
      </patternFill>
    </fill>
    <fill>
      <patternFill patternType="solid">
        <fgColor theme="4" tint="0.39997558519241921"/>
        <bgColor indexed="64"/>
      </patternFill>
    </fill>
    <fill>
      <patternFill patternType="solid">
        <fgColor theme="9" tint="-0.249977111117893"/>
        <bgColor indexed="64"/>
      </patternFill>
    </fill>
    <fill>
      <patternFill patternType="solid">
        <fgColor theme="9" tint="0.39997558519241921"/>
        <bgColor indexed="64"/>
      </patternFill>
    </fill>
  </fills>
  <borders count="46">
    <border>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double">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8" tint="0.39997558519241921"/>
      </left>
      <right/>
      <top style="thin">
        <color theme="8" tint="0.39997558519241921"/>
      </top>
      <bottom/>
      <diagonal/>
    </border>
    <border>
      <left style="thin">
        <color theme="8" tint="0.39997558519241921"/>
      </left>
      <right style="thin">
        <color theme="8" tint="0.39997558519241921"/>
      </right>
      <top style="thin">
        <color theme="8" tint="0.39997558519241921"/>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0"/>
      </left>
      <right/>
      <top style="thin">
        <color theme="0"/>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thin">
        <color indexed="64"/>
      </bottom>
      <diagonal/>
    </border>
    <border>
      <left/>
      <right/>
      <top style="thin">
        <color indexed="64"/>
      </top>
      <bottom style="medium">
        <color indexed="64"/>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103">
    <xf numFmtId="0" fontId="0" fillId="0" borderId="0" xfId="0"/>
    <xf numFmtId="0" fontId="1" fillId="3" borderId="14" xfId="0" applyFont="1" applyFill="1" applyBorder="1" applyAlignment="1">
      <alignment horizontal="center" vertical="center"/>
    </xf>
    <xf numFmtId="0" fontId="1" fillId="3" borderId="15" xfId="0" applyFont="1" applyFill="1" applyBorder="1" applyAlignment="1">
      <alignment horizontal="center" vertical="center"/>
    </xf>
    <xf numFmtId="0" fontId="1" fillId="3" borderId="16" xfId="0" applyFont="1" applyFill="1" applyBorder="1" applyAlignment="1">
      <alignment horizontal="center" vertical="center"/>
    </xf>
    <xf numFmtId="0" fontId="0" fillId="0" borderId="0" xfId="0" applyAlignment="1">
      <alignment horizontal="center" vertical="center"/>
    </xf>
    <xf numFmtId="0" fontId="0" fillId="0" borderId="12" xfId="0" pivotButton="1" applyBorder="1" applyAlignment="1">
      <alignment horizontal="center" vertical="center"/>
    </xf>
    <xf numFmtId="0" fontId="0" fillId="0" borderId="12"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12" fillId="10" borderId="17" xfId="0" applyFont="1" applyFill="1" applyBorder="1" applyAlignment="1">
      <alignment horizontal="center" vertical="center"/>
    </xf>
    <xf numFmtId="0" fontId="12" fillId="10" borderId="25" xfId="0" applyFont="1" applyFill="1" applyBorder="1" applyAlignment="1">
      <alignment horizontal="center" vertical="center"/>
    </xf>
    <xf numFmtId="0" fontId="12" fillId="10" borderId="29" xfId="0" applyFont="1" applyFill="1" applyBorder="1" applyAlignment="1">
      <alignment horizontal="center" vertical="center"/>
    </xf>
    <xf numFmtId="0" fontId="12" fillId="10" borderId="30" xfId="0" applyFont="1" applyFill="1" applyBorder="1" applyAlignment="1">
      <alignment horizontal="center" vertical="center"/>
    </xf>
    <xf numFmtId="0" fontId="12" fillId="10" borderId="26" xfId="0" applyFont="1" applyFill="1" applyBorder="1" applyAlignment="1">
      <alignment horizontal="center" vertical="center"/>
    </xf>
    <xf numFmtId="0" fontId="11" fillId="11" borderId="27" xfId="0" applyFont="1" applyFill="1" applyBorder="1" applyAlignment="1">
      <alignment horizontal="center" vertical="center"/>
    </xf>
    <xf numFmtId="0" fontId="11" fillId="11" borderId="28" xfId="0" applyFont="1" applyFill="1" applyBorder="1" applyAlignment="1">
      <alignment horizontal="center" vertical="center"/>
    </xf>
    <xf numFmtId="0" fontId="11" fillId="11" borderId="31" xfId="0" applyFont="1" applyFill="1" applyBorder="1" applyAlignment="1">
      <alignment horizontal="center" vertical="center"/>
    </xf>
    <xf numFmtId="0" fontId="11" fillId="11" borderId="20" xfId="0" applyFont="1" applyFill="1" applyBorder="1" applyAlignment="1">
      <alignment horizontal="center" vertical="center"/>
    </xf>
    <xf numFmtId="3" fontId="11" fillId="11" borderId="21" xfId="0" applyNumberFormat="1" applyFont="1" applyFill="1" applyBorder="1" applyAlignment="1">
      <alignment horizontal="center" vertical="center" wrapText="1"/>
    </xf>
    <xf numFmtId="0" fontId="11" fillId="11" borderId="40" xfId="0" applyFont="1" applyFill="1" applyBorder="1" applyAlignment="1">
      <alignment horizontal="center" vertical="center"/>
    </xf>
    <xf numFmtId="10" fontId="11" fillId="11" borderId="44" xfId="0" applyNumberFormat="1" applyFont="1" applyFill="1" applyBorder="1" applyAlignment="1">
      <alignment horizontal="center" vertical="center"/>
    </xf>
    <xf numFmtId="0" fontId="11" fillId="11" borderId="43" xfId="0" applyFont="1" applyFill="1" applyBorder="1" applyAlignment="1">
      <alignment horizontal="center" vertical="center"/>
    </xf>
    <xf numFmtId="3" fontId="0" fillId="0" borderId="0" xfId="0" applyNumberFormat="1" applyAlignment="1">
      <alignment horizontal="center" vertical="center"/>
    </xf>
    <xf numFmtId="0" fontId="11" fillId="0" borderId="0" xfId="0" applyFont="1" applyAlignment="1">
      <alignment horizontal="center" vertical="center"/>
    </xf>
    <xf numFmtId="0" fontId="11" fillId="11" borderId="21" xfId="0" applyFont="1" applyFill="1" applyBorder="1" applyAlignment="1">
      <alignment horizontal="center" vertical="center" wrapText="1"/>
    </xf>
    <xf numFmtId="0" fontId="11" fillId="11" borderId="41" xfId="0" applyFont="1" applyFill="1" applyBorder="1" applyAlignment="1">
      <alignment horizontal="center" vertical="center"/>
    </xf>
    <xf numFmtId="0" fontId="11" fillId="11" borderId="22" xfId="0" applyFont="1" applyFill="1" applyBorder="1" applyAlignment="1">
      <alignment horizontal="center" vertical="center"/>
    </xf>
    <xf numFmtId="3" fontId="11" fillId="11" borderId="24" xfId="0" applyNumberFormat="1" applyFont="1" applyFill="1" applyBorder="1" applyAlignment="1">
      <alignment horizontal="center" vertical="center" wrapText="1"/>
    </xf>
    <xf numFmtId="0" fontId="7" fillId="2" borderId="6" xfId="0" applyFont="1" applyFill="1" applyBorder="1" applyAlignment="1">
      <alignment horizontal="center" vertical="center"/>
    </xf>
    <xf numFmtId="0" fontId="7" fillId="2" borderId="7" xfId="0" applyFont="1" applyFill="1" applyBorder="1" applyAlignment="1">
      <alignment horizontal="center" vertical="center"/>
    </xf>
    <xf numFmtId="0" fontId="7" fillId="6" borderId="8" xfId="0" applyFont="1" applyFill="1" applyBorder="1" applyAlignment="1">
      <alignment horizontal="center" vertical="center"/>
    </xf>
    <xf numFmtId="14" fontId="0" fillId="7" borderId="9" xfId="0" applyNumberFormat="1" applyFill="1" applyBorder="1" applyAlignment="1">
      <alignment horizontal="center" vertical="center"/>
    </xf>
    <xf numFmtId="0" fontId="0" fillId="7" borderId="9" xfId="0" applyFill="1" applyBorder="1" applyAlignment="1">
      <alignment horizontal="center" vertical="center"/>
    </xf>
    <xf numFmtId="0" fontId="7" fillId="6" borderId="10" xfId="0" applyFont="1" applyFill="1" applyBorder="1" applyAlignment="1">
      <alignment horizontal="center" vertical="center"/>
    </xf>
    <xf numFmtId="0" fontId="0" fillId="2" borderId="11" xfId="0" applyFill="1" applyBorder="1" applyAlignment="1">
      <alignment horizontal="center" vertical="center"/>
    </xf>
    <xf numFmtId="0" fontId="0" fillId="7" borderId="11" xfId="0" applyFill="1" applyBorder="1" applyAlignment="1">
      <alignment horizontal="center" vertical="center"/>
    </xf>
    <xf numFmtId="0" fontId="4" fillId="0" borderId="13" xfId="0" applyFont="1" applyBorder="1" applyAlignment="1">
      <alignment horizontal="center" vertical="center"/>
    </xf>
    <xf numFmtId="0" fontId="4" fillId="0" borderId="0" xfId="0" applyFont="1" applyAlignment="1">
      <alignment horizontal="center" vertical="center"/>
    </xf>
    <xf numFmtId="0" fontId="6" fillId="4" borderId="2" xfId="0" applyFont="1" applyFill="1" applyBorder="1" applyAlignment="1">
      <alignment horizontal="center" vertical="center"/>
    </xf>
    <xf numFmtId="0" fontId="8" fillId="0" borderId="0" xfId="0" applyFont="1" applyAlignment="1">
      <alignment horizontal="center" vertical="center"/>
    </xf>
    <xf numFmtId="44" fontId="3" fillId="4" borderId="1" xfId="1" applyFont="1" applyFill="1" applyBorder="1" applyAlignment="1">
      <alignment horizontal="center" vertical="center"/>
    </xf>
    <xf numFmtId="2" fontId="3" fillId="4" borderId="1" xfId="0" applyNumberFormat="1" applyFont="1" applyFill="1" applyBorder="1" applyAlignment="1">
      <alignment horizontal="center" vertical="center"/>
    </xf>
    <xf numFmtId="0" fontId="0" fillId="0" borderId="4" xfId="0" applyBorder="1" applyAlignment="1">
      <alignment horizontal="center" vertical="center"/>
    </xf>
    <xf numFmtId="9" fontId="0" fillId="7" borderId="9" xfId="2" applyFont="1" applyFill="1" applyBorder="1" applyAlignment="1">
      <alignment horizontal="center" vertical="center"/>
    </xf>
    <xf numFmtId="9" fontId="0" fillId="2" borderId="11" xfId="2" applyFont="1" applyFill="1" applyBorder="1" applyAlignment="1">
      <alignment horizontal="center" vertical="center"/>
    </xf>
    <xf numFmtId="9" fontId="0" fillId="7" borderId="11" xfId="2" applyFont="1" applyFill="1" applyBorder="1" applyAlignment="1">
      <alignment horizontal="center" vertical="center"/>
    </xf>
    <xf numFmtId="0" fontId="10" fillId="10" borderId="13" xfId="0" applyFont="1" applyFill="1" applyBorder="1" applyAlignment="1">
      <alignment horizontal="center" vertical="center"/>
    </xf>
    <xf numFmtId="0" fontId="10" fillId="10" borderId="0" xfId="0" applyFont="1" applyFill="1" applyAlignment="1">
      <alignment horizontal="center" vertical="center"/>
    </xf>
    <xf numFmtId="0" fontId="1" fillId="3" borderId="14" xfId="0" applyFont="1" applyFill="1" applyBorder="1" applyAlignment="1">
      <alignment horizontal="center" vertical="center"/>
    </xf>
    <xf numFmtId="0" fontId="1" fillId="3" borderId="15" xfId="0" applyFont="1" applyFill="1" applyBorder="1" applyAlignment="1">
      <alignment horizontal="center" vertical="center"/>
    </xf>
    <xf numFmtId="0" fontId="1" fillId="3" borderId="16" xfId="0" applyFont="1" applyFill="1" applyBorder="1" applyAlignment="1">
      <alignment horizontal="center" vertical="center"/>
    </xf>
    <xf numFmtId="0" fontId="0" fillId="3" borderId="16" xfId="0" applyFill="1" applyBorder="1" applyAlignment="1">
      <alignment horizontal="center" vertical="center"/>
    </xf>
    <xf numFmtId="0" fontId="5" fillId="5" borderId="3" xfId="0" applyFont="1" applyFill="1" applyBorder="1" applyAlignment="1">
      <alignment horizontal="center" vertical="center"/>
    </xf>
    <xf numFmtId="0" fontId="5" fillId="5" borderId="4" xfId="0" applyFont="1" applyFill="1" applyBorder="1" applyAlignment="1">
      <alignment horizontal="center" vertical="center"/>
    </xf>
    <xf numFmtId="0" fontId="5" fillId="5" borderId="5" xfId="0" applyFont="1" applyFill="1" applyBorder="1" applyAlignment="1">
      <alignment horizontal="center" vertical="center"/>
    </xf>
    <xf numFmtId="0" fontId="1" fillId="9" borderId="34" xfId="0" applyFont="1" applyFill="1" applyBorder="1" applyAlignment="1">
      <alignment horizontal="left" vertical="center" wrapText="1"/>
    </xf>
    <xf numFmtId="0" fontId="1" fillId="9" borderId="35" xfId="0" applyFont="1" applyFill="1" applyBorder="1" applyAlignment="1">
      <alignment horizontal="left" vertical="center" wrapText="1"/>
    </xf>
    <xf numFmtId="0" fontId="1" fillId="9" borderId="36" xfId="0" applyFont="1" applyFill="1" applyBorder="1" applyAlignment="1">
      <alignment horizontal="left" vertical="center" wrapText="1"/>
    </xf>
    <xf numFmtId="0" fontId="1" fillId="9" borderId="37" xfId="0" applyFont="1" applyFill="1" applyBorder="1" applyAlignment="1">
      <alignment horizontal="left" vertical="center" wrapText="1"/>
    </xf>
    <xf numFmtId="0" fontId="1" fillId="9" borderId="38" xfId="0" applyFont="1" applyFill="1" applyBorder="1" applyAlignment="1">
      <alignment horizontal="left" vertical="center" wrapText="1"/>
    </xf>
    <xf numFmtId="0" fontId="1" fillId="9" borderId="39" xfId="0" applyFont="1" applyFill="1" applyBorder="1" applyAlignment="1">
      <alignment horizontal="left" vertical="center" wrapText="1"/>
    </xf>
    <xf numFmtId="0" fontId="1" fillId="9" borderId="34" xfId="0" applyFont="1" applyFill="1" applyBorder="1" applyAlignment="1">
      <alignment wrapText="1"/>
    </xf>
    <xf numFmtId="0" fontId="1" fillId="9" borderId="35" xfId="0" applyFont="1" applyFill="1" applyBorder="1" applyAlignment="1">
      <alignment wrapText="1"/>
    </xf>
    <xf numFmtId="0" fontId="1" fillId="9" borderId="36" xfId="0" applyFont="1" applyFill="1" applyBorder="1" applyAlignment="1">
      <alignment wrapText="1"/>
    </xf>
    <xf numFmtId="0" fontId="1" fillId="9" borderId="37" xfId="0" applyFont="1" applyFill="1" applyBorder="1" applyAlignment="1">
      <alignment wrapText="1"/>
    </xf>
    <xf numFmtId="0" fontId="1" fillId="9" borderId="38" xfId="0" applyFont="1" applyFill="1" applyBorder="1" applyAlignment="1">
      <alignment wrapText="1"/>
    </xf>
    <xf numFmtId="0" fontId="1" fillId="9" borderId="39" xfId="0" applyFont="1" applyFill="1" applyBorder="1" applyAlignment="1">
      <alignment wrapText="1"/>
    </xf>
    <xf numFmtId="0" fontId="1" fillId="9" borderId="20" xfId="0" applyFont="1" applyFill="1" applyBorder="1" applyAlignment="1">
      <alignment wrapText="1"/>
    </xf>
    <xf numFmtId="0" fontId="1" fillId="9" borderId="19" xfId="0" applyFont="1" applyFill="1" applyBorder="1" applyAlignment="1">
      <alignment wrapText="1"/>
    </xf>
    <xf numFmtId="0" fontId="1" fillId="9" borderId="21" xfId="0" applyFont="1" applyFill="1" applyBorder="1" applyAlignment="1">
      <alignment wrapText="1"/>
    </xf>
    <xf numFmtId="0" fontId="1" fillId="9" borderId="22" xfId="0" applyFont="1" applyFill="1" applyBorder="1" applyAlignment="1">
      <alignment wrapText="1"/>
    </xf>
    <xf numFmtId="0" fontId="1" fillId="9" borderId="23" xfId="0" applyFont="1" applyFill="1" applyBorder="1" applyAlignment="1">
      <alignment wrapText="1"/>
    </xf>
    <xf numFmtId="0" fontId="1" fillId="9" borderId="24" xfId="0" applyFont="1" applyFill="1" applyBorder="1" applyAlignment="1">
      <alignment wrapText="1"/>
    </xf>
    <xf numFmtId="0" fontId="9" fillId="8" borderId="14" xfId="0" applyFont="1" applyFill="1" applyBorder="1" applyAlignment="1">
      <alignment horizontal="center"/>
    </xf>
    <xf numFmtId="0" fontId="9" fillId="8" borderId="15" xfId="0" applyFont="1" applyFill="1" applyBorder="1" applyAlignment="1">
      <alignment horizontal="center"/>
    </xf>
    <xf numFmtId="0" fontId="9" fillId="8" borderId="16" xfId="0" applyFont="1" applyFill="1" applyBorder="1" applyAlignment="1">
      <alignment horizontal="center"/>
    </xf>
    <xf numFmtId="0" fontId="1" fillId="9" borderId="20" xfId="0" applyFont="1" applyFill="1" applyBorder="1"/>
    <xf numFmtId="0" fontId="1" fillId="9" borderId="19" xfId="0" applyFont="1" applyFill="1" applyBorder="1"/>
    <xf numFmtId="0" fontId="1" fillId="9" borderId="21" xfId="0" applyFont="1" applyFill="1" applyBorder="1"/>
    <xf numFmtId="0" fontId="1" fillId="9" borderId="34" xfId="0" applyFont="1" applyFill="1" applyBorder="1" applyAlignment="1">
      <alignment horizontal="left" wrapText="1"/>
    </xf>
    <xf numFmtId="0" fontId="1" fillId="9" borderId="35" xfId="0" applyFont="1" applyFill="1" applyBorder="1" applyAlignment="1">
      <alignment horizontal="left" wrapText="1"/>
    </xf>
    <xf numFmtId="0" fontId="1" fillId="9" borderId="36" xfId="0" applyFont="1" applyFill="1" applyBorder="1" applyAlignment="1">
      <alignment horizontal="left" wrapText="1"/>
    </xf>
    <xf numFmtId="0" fontId="1" fillId="9" borderId="37" xfId="0" applyFont="1" applyFill="1" applyBorder="1" applyAlignment="1">
      <alignment horizontal="left" wrapText="1"/>
    </xf>
    <xf numFmtId="0" fontId="1" fillId="9" borderId="38" xfId="0" applyFont="1" applyFill="1" applyBorder="1" applyAlignment="1">
      <alignment horizontal="left" wrapText="1"/>
    </xf>
    <xf numFmtId="0" fontId="1" fillId="9" borderId="39" xfId="0" applyFont="1" applyFill="1" applyBorder="1" applyAlignment="1">
      <alignment horizontal="left" wrapText="1"/>
    </xf>
    <xf numFmtId="0" fontId="1" fillId="9" borderId="31" xfId="0" applyFont="1" applyFill="1" applyBorder="1" applyAlignment="1">
      <alignment horizontal="left"/>
    </xf>
    <xf numFmtId="0" fontId="1" fillId="9" borderId="32" xfId="0" applyFont="1" applyFill="1" applyBorder="1" applyAlignment="1">
      <alignment horizontal="left"/>
    </xf>
    <xf numFmtId="0" fontId="1" fillId="9" borderId="33" xfId="0" applyFont="1" applyFill="1" applyBorder="1" applyAlignment="1">
      <alignment horizontal="left"/>
    </xf>
    <xf numFmtId="0" fontId="1" fillId="9" borderId="43" xfId="0" applyFont="1" applyFill="1" applyBorder="1" applyAlignment="1">
      <alignment horizontal="left"/>
    </xf>
    <xf numFmtId="0" fontId="1" fillId="9" borderId="45" xfId="0" applyFont="1" applyFill="1" applyBorder="1" applyAlignment="1">
      <alignment horizontal="left"/>
    </xf>
    <xf numFmtId="0" fontId="1" fillId="9" borderId="42" xfId="0" applyFont="1" applyFill="1" applyBorder="1" applyAlignment="1">
      <alignment horizontal="left"/>
    </xf>
    <xf numFmtId="0" fontId="1" fillId="9" borderId="20" xfId="0" applyFont="1" applyFill="1" applyBorder="1" applyAlignment="1">
      <alignment horizontal="left"/>
    </xf>
    <xf numFmtId="0" fontId="1" fillId="9" borderId="19" xfId="0" applyFont="1" applyFill="1" applyBorder="1" applyAlignment="1">
      <alignment horizontal="left"/>
    </xf>
    <xf numFmtId="0" fontId="1" fillId="9" borderId="21" xfId="0" applyFont="1" applyFill="1" applyBorder="1" applyAlignment="1">
      <alignment horizontal="left"/>
    </xf>
    <xf numFmtId="0" fontId="0" fillId="0" borderId="3" xfId="0" applyNumberFormat="1" applyBorder="1" applyAlignment="1">
      <alignment horizontal="center" vertical="center"/>
    </xf>
    <xf numFmtId="0" fontId="0" fillId="0" borderId="4" xfId="0" applyNumberFormat="1" applyBorder="1" applyAlignment="1">
      <alignment horizontal="center" vertical="center"/>
    </xf>
    <xf numFmtId="0" fontId="0" fillId="0" borderId="5" xfId="0" applyNumberFormat="1" applyBorder="1" applyAlignment="1">
      <alignment horizontal="center" vertical="center"/>
    </xf>
    <xf numFmtId="0" fontId="0" fillId="0" borderId="17" xfId="0" applyNumberFormat="1" applyBorder="1" applyAlignment="1">
      <alignment horizontal="center" vertical="center"/>
    </xf>
    <xf numFmtId="0" fontId="0" fillId="0" borderId="18" xfId="0" applyNumberFormat="1" applyBorder="1" applyAlignment="1">
      <alignment horizontal="center" vertical="center"/>
    </xf>
    <xf numFmtId="0" fontId="0" fillId="0" borderId="1" xfId="0" applyNumberFormat="1" applyBorder="1" applyAlignment="1">
      <alignment horizontal="center" vertical="center"/>
    </xf>
  </cellXfs>
  <cellStyles count="3">
    <cellStyle name="Currency" xfId="1" builtinId="4"/>
    <cellStyle name="Normal" xfId="0" builtinId="0"/>
    <cellStyle name="Percent" xfId="2" builtinId="5"/>
  </cellStyles>
  <dxfs count="1459">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[Sales_Performance_Dashboard_Portfolio.xlsx]Pivots!PivotTable6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Total 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Pivots!$L$2</c:f>
              <c:strCache>
                <c:ptCount val="1"/>
                <c:pt idx="0">
                  <c:v>Total</c:v>
                </c:pt>
              </c:strCache>
            </c:strRef>
          </c:tx>
          <c:spPr>
            <a:solidFill>
              <a:schemeClr val="accent1"/>
            </a:solidFill>
            <a:ln>
              <a:noFill/>
            </a:ln>
            <a:effectLst/>
          </c:spPr>
          <c:invertIfNegative val="0"/>
          <c:cat>
            <c:strRef>
              <c:f>Pivots!$K$3:$K$9</c:f>
              <c:strCache>
                <c:ptCount val="6"/>
                <c:pt idx="0">
                  <c:v>East</c:v>
                </c:pt>
                <c:pt idx="1">
                  <c:v>North</c:v>
                </c:pt>
                <c:pt idx="2">
                  <c:v>South</c:v>
                </c:pt>
                <c:pt idx="3">
                  <c:v>South East</c:v>
                </c:pt>
                <c:pt idx="4">
                  <c:v>West</c:v>
                </c:pt>
                <c:pt idx="5">
                  <c:v>South West</c:v>
                </c:pt>
              </c:strCache>
            </c:strRef>
          </c:cat>
          <c:val>
            <c:numRef>
              <c:f>Pivots!$L$3:$L$9</c:f>
              <c:numCache>
                <c:formatCode>General</c:formatCode>
                <c:ptCount val="6"/>
                <c:pt idx="0">
                  <c:v>20611850</c:v>
                </c:pt>
                <c:pt idx="1">
                  <c:v>15508847.5</c:v>
                </c:pt>
                <c:pt idx="2">
                  <c:v>14372817.5</c:v>
                </c:pt>
                <c:pt idx="3">
                  <c:v>16387497.5</c:v>
                </c:pt>
                <c:pt idx="4">
                  <c:v>16156142.5</c:v>
                </c:pt>
                <c:pt idx="5">
                  <c:v>18428702.5</c:v>
                </c:pt>
              </c:numCache>
            </c:numRef>
          </c:val>
          <c:extLst>
            <c:ext xmlns:c16="http://schemas.microsoft.com/office/drawing/2014/chart" uri="{C3380CC4-5D6E-409C-BE32-E72D297353CC}">
              <c16:uniqueId val="{00000000-F27C-4563-A1BE-0942C2D7A476}"/>
            </c:ext>
          </c:extLst>
        </c:ser>
        <c:dLbls>
          <c:showLegendKey val="0"/>
          <c:showVal val="0"/>
          <c:showCatName val="0"/>
          <c:showSerName val="0"/>
          <c:showPercent val="0"/>
          <c:showBubbleSize val="0"/>
        </c:dLbls>
        <c:gapWidth val="219"/>
        <c:overlap val="-27"/>
        <c:axId val="941421007"/>
        <c:axId val="941419087"/>
      </c:barChart>
      <c:catAx>
        <c:axId val="94142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9087"/>
        <c:crosses val="autoZero"/>
        <c:auto val="1"/>
        <c:lblAlgn val="ctr"/>
        <c:lblOffset val="100"/>
        <c:noMultiLvlLbl val="0"/>
      </c:catAx>
      <c:valAx>
        <c:axId val="941419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2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127000">
        <a:schemeClr val="accent2">
          <a:lumMod val="40000"/>
          <a:lumOff val="6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[Sales_Performance_Dashboard_Portfolio.xlsx]Pivots!PivotTable7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Total 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Pivots!$L$12</c:f>
              <c:strCache>
                <c:ptCount val="1"/>
                <c:pt idx="0">
                  <c:v>Total</c:v>
                </c:pt>
              </c:strCache>
            </c:strRef>
          </c:tx>
          <c:spPr>
            <a:solidFill>
              <a:schemeClr val="accent1"/>
            </a:solidFill>
            <a:ln>
              <a:noFill/>
            </a:ln>
            <a:effectLst/>
          </c:spPr>
          <c:invertIfNegative val="0"/>
          <c:cat>
            <c:strRef>
              <c:f>Pivots!$K$13:$K$16</c:f>
              <c:strCache>
                <c:ptCount val="3"/>
                <c:pt idx="0">
                  <c:v>Electronics</c:v>
                </c:pt>
                <c:pt idx="1">
                  <c:v>Furniture</c:v>
                </c:pt>
                <c:pt idx="2">
                  <c:v>Office Supplies</c:v>
                </c:pt>
              </c:strCache>
            </c:strRef>
          </c:cat>
          <c:val>
            <c:numRef>
              <c:f>Pivots!$L$13:$L$16</c:f>
              <c:numCache>
                <c:formatCode>General</c:formatCode>
                <c:ptCount val="3"/>
                <c:pt idx="0">
                  <c:v>54927260</c:v>
                </c:pt>
                <c:pt idx="1">
                  <c:v>28693095</c:v>
                </c:pt>
                <c:pt idx="2">
                  <c:v>17845502.5</c:v>
                </c:pt>
              </c:numCache>
            </c:numRef>
          </c:val>
          <c:extLst>
            <c:ext xmlns:c16="http://schemas.microsoft.com/office/drawing/2014/chart" uri="{C3380CC4-5D6E-409C-BE32-E72D297353CC}">
              <c16:uniqueId val="{00000000-1912-425F-A466-60EA749CA86E}"/>
            </c:ext>
          </c:extLst>
        </c:ser>
        <c:dLbls>
          <c:showLegendKey val="0"/>
          <c:showVal val="0"/>
          <c:showCatName val="0"/>
          <c:showSerName val="0"/>
          <c:showPercent val="0"/>
          <c:showBubbleSize val="0"/>
        </c:dLbls>
        <c:gapWidth val="182"/>
        <c:axId val="789034911"/>
        <c:axId val="789047391"/>
      </c:barChart>
      <c:catAx>
        <c:axId val="789034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047391"/>
        <c:crosses val="autoZero"/>
        <c:auto val="1"/>
        <c:lblAlgn val="ctr"/>
        <c:lblOffset val="100"/>
        <c:noMultiLvlLbl val="0"/>
      </c:catAx>
      <c:valAx>
        <c:axId val="789047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034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127000">
        <a:schemeClr val="accent2">
          <a:lumMod val="40000"/>
          <a:lumOff val="6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[Sales_Performance_Dashboard_Portfolio.xlsx]Pivots!PivotTable3</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Monthly Sales Trend (2024–2025)</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Pivots!$C$2</c:f>
              <c:strCache>
                <c:ptCount val="1"/>
                <c:pt idx="0">
                  <c:v>Total</c:v>
                </c:pt>
              </c:strCache>
            </c:strRef>
          </c:tx>
          <c:spPr>
            <a:solidFill>
              <a:schemeClr val="accent1"/>
            </a:solidFill>
            <a:ln>
              <a:noFill/>
            </a:ln>
            <a:effectLst/>
          </c:spPr>
          <c:invertIfNegative val="0"/>
          <c:cat>
            <c:multiLvlStrRef>
              <c:f>Pivots!$A$3:$B$29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Pivots!$C$3:$C$29</c:f>
              <c:numCache>
                <c:formatCode>General</c:formatCode>
                <c:ptCount val="24"/>
                <c:pt idx="0">
                  <c:v>2845590</c:v>
                </c:pt>
                <c:pt idx="1">
                  <c:v>4937840</c:v>
                </c:pt>
                <c:pt idx="2">
                  <c:v>4619320</c:v>
                </c:pt>
                <c:pt idx="3">
                  <c:v>5452800</c:v>
                </c:pt>
                <c:pt idx="4">
                  <c:v>3810852.5</c:v>
                </c:pt>
                <c:pt idx="5">
                  <c:v>3921877.5</c:v>
                </c:pt>
                <c:pt idx="6">
                  <c:v>4318820</c:v>
                </c:pt>
                <c:pt idx="7">
                  <c:v>9422005</c:v>
                </c:pt>
                <c:pt idx="8">
                  <c:v>4090307.5</c:v>
                </c:pt>
                <c:pt idx="9">
                  <c:v>3211980</c:v>
                </c:pt>
                <c:pt idx="10">
                  <c:v>3227587.5</c:v>
                </c:pt>
                <c:pt idx="11">
                  <c:v>5216190</c:v>
                </c:pt>
                <c:pt idx="12">
                  <c:v>4249992.5</c:v>
                </c:pt>
                <c:pt idx="13">
                  <c:v>3768090</c:v>
                </c:pt>
                <c:pt idx="14">
                  <c:v>3061625</c:v>
                </c:pt>
                <c:pt idx="15">
                  <c:v>4163080</c:v>
                </c:pt>
                <c:pt idx="16">
                  <c:v>3576615</c:v>
                </c:pt>
                <c:pt idx="17">
                  <c:v>2449110</c:v>
                </c:pt>
                <c:pt idx="18">
                  <c:v>5823465</c:v>
                </c:pt>
                <c:pt idx="19">
                  <c:v>2987350</c:v>
                </c:pt>
                <c:pt idx="20">
                  <c:v>3604637.5</c:v>
                </c:pt>
                <c:pt idx="21">
                  <c:v>4408370</c:v>
                </c:pt>
                <c:pt idx="22">
                  <c:v>4759722.5</c:v>
                </c:pt>
                <c:pt idx="23">
                  <c:v>3538630</c:v>
                </c:pt>
              </c:numCache>
            </c:numRef>
          </c:val>
          <c:extLst>
            <c:ext xmlns:c16="http://schemas.microsoft.com/office/drawing/2014/chart" uri="{C3380CC4-5D6E-409C-BE32-E72D297353CC}">
              <c16:uniqueId val="{00000000-3E1E-40DE-B963-CBAEBF2D2157}"/>
            </c:ext>
          </c:extLst>
        </c:ser>
        <c:dLbls>
          <c:showLegendKey val="0"/>
          <c:showVal val="0"/>
          <c:showCatName val="0"/>
          <c:showSerName val="0"/>
          <c:showPercent val="0"/>
          <c:showBubbleSize val="0"/>
        </c:dLbls>
        <c:gapWidth val="219"/>
        <c:overlap val="-27"/>
        <c:axId val="789060831"/>
        <c:axId val="789061311"/>
      </c:barChart>
      <c:catAx>
        <c:axId val="78906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061311"/>
        <c:crosses val="autoZero"/>
        <c:auto val="1"/>
        <c:lblAlgn val="ctr"/>
        <c:lblOffset val="100"/>
        <c:noMultiLvlLbl val="0"/>
      </c:catAx>
      <c:valAx>
        <c:axId val="789061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06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127000">
        <a:schemeClr val="accent2">
          <a:lumMod val="60000"/>
          <a:lumOff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[Sales_Performance_Dashboard_Portfolio.xlsx]Pivots!PivotTable4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Total Sales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Pivots!$F$2</c:f>
              <c:strCache>
                <c:ptCount val="1"/>
                <c:pt idx="0">
                  <c:v>Total</c:v>
                </c:pt>
              </c:strCache>
            </c:strRef>
          </c:tx>
          <c:spPr>
            <a:solidFill>
              <a:schemeClr val="accent1"/>
            </a:solidFill>
            <a:ln>
              <a:noFill/>
            </a:ln>
            <a:effectLst/>
          </c:spPr>
          <c:invertIfNegative val="0"/>
          <c:cat>
            <c:strRef>
              <c:f>Pivots!$E$3:$E$15</c:f>
              <c:strCache>
                <c:ptCount val="12"/>
                <c:pt idx="0">
                  <c:v>Calculator</c:v>
                </c:pt>
                <c:pt idx="1">
                  <c:v>Headphones</c:v>
                </c:pt>
                <c:pt idx="2">
                  <c:v>Keyboard</c:v>
                </c:pt>
                <c:pt idx="3">
                  <c:v>Laptop</c:v>
                </c:pt>
                <c:pt idx="4">
                  <c:v>Monitor</c:v>
                </c:pt>
                <c:pt idx="5">
                  <c:v>Mouse</c:v>
                </c:pt>
                <c:pt idx="6">
                  <c:v>Notebook</c:v>
                </c:pt>
                <c:pt idx="7">
                  <c:v>Office Chair</c:v>
                </c:pt>
                <c:pt idx="8">
                  <c:v>Office Desk</c:v>
                </c:pt>
                <c:pt idx="9">
                  <c:v>Printer</c:v>
                </c:pt>
                <c:pt idx="10">
                  <c:v>Printer Paper</c:v>
                </c:pt>
                <c:pt idx="11">
                  <c:v>USB Drive</c:v>
                </c:pt>
              </c:strCache>
            </c:strRef>
          </c:cat>
          <c:val>
            <c:numRef>
              <c:f>Pivots!$F$3:$F$15</c:f>
              <c:numCache>
                <c:formatCode>General</c:formatCode>
                <c:ptCount val="12"/>
                <c:pt idx="0">
                  <c:v>525000</c:v>
                </c:pt>
                <c:pt idx="1">
                  <c:v>7897787.5</c:v>
                </c:pt>
                <c:pt idx="2">
                  <c:v>6567997.5</c:v>
                </c:pt>
                <c:pt idx="3">
                  <c:v>36222750</c:v>
                </c:pt>
                <c:pt idx="4">
                  <c:v>6006547.5</c:v>
                </c:pt>
                <c:pt idx="5">
                  <c:v>6076387.5</c:v>
                </c:pt>
                <c:pt idx="6">
                  <c:v>5507170</c:v>
                </c:pt>
                <c:pt idx="7">
                  <c:v>6941902.5</c:v>
                </c:pt>
                <c:pt idx="8">
                  <c:v>9735000</c:v>
                </c:pt>
                <c:pt idx="9">
                  <c:v>4929470</c:v>
                </c:pt>
                <c:pt idx="10">
                  <c:v>5659342.5</c:v>
                </c:pt>
                <c:pt idx="11">
                  <c:v>5396502.5</c:v>
                </c:pt>
              </c:numCache>
            </c:numRef>
          </c:val>
          <c:extLst>
            <c:ext xmlns:c16="http://schemas.microsoft.com/office/drawing/2014/chart" uri="{C3380CC4-5D6E-409C-BE32-E72D297353CC}">
              <c16:uniqueId val="{00000000-F808-4FB1-8BA6-8BF14EC110E4}"/>
            </c:ext>
          </c:extLst>
        </c:ser>
        <c:dLbls>
          <c:showLegendKey val="0"/>
          <c:showVal val="0"/>
          <c:showCatName val="0"/>
          <c:showSerName val="0"/>
          <c:showPercent val="0"/>
          <c:showBubbleSize val="0"/>
        </c:dLbls>
        <c:gapWidth val="182"/>
        <c:axId val="829943679"/>
        <c:axId val="829937439"/>
      </c:barChart>
      <c:catAx>
        <c:axId val="829943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937439"/>
        <c:crosses val="autoZero"/>
        <c:auto val="1"/>
        <c:lblAlgn val="ctr"/>
        <c:lblOffset val="100"/>
        <c:noMultiLvlLbl val="0"/>
      </c:catAx>
      <c:valAx>
        <c:axId val="8299374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94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127000">
        <a:schemeClr val="accent2">
          <a:lumMod val="40000"/>
          <a:lumOff val="6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[Sales_Performance_Dashboard_Portfolio.xlsx]Pivots!PivotTable5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Total Sales by Salesperson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Pivots!$I$2</c:f>
              <c:strCache>
                <c:ptCount val="1"/>
                <c:pt idx="0">
                  <c:v>Total</c:v>
                </c:pt>
              </c:strCache>
            </c:strRef>
          </c:tx>
          <c:spPr>
            <a:solidFill>
              <a:schemeClr val="accent1"/>
            </a:solidFill>
            <a:ln>
              <a:noFill/>
            </a:ln>
            <a:effectLst/>
          </c:spPr>
          <c:invertIfNegative val="0"/>
          <c:cat>
            <c:strRef>
              <c:f>Pivots!$H$3:$H$13</c:f>
              <c:strCache>
                <c:ptCount val="10"/>
                <c:pt idx="0">
                  <c:v>Ahmed</c:v>
                </c:pt>
                <c:pt idx="1">
                  <c:v>Ali</c:v>
                </c:pt>
                <c:pt idx="2">
                  <c:v>Ayesha</c:v>
                </c:pt>
                <c:pt idx="3">
                  <c:v>Bilal</c:v>
                </c:pt>
                <c:pt idx="4">
                  <c:v>Fatima</c:v>
                </c:pt>
                <c:pt idx="5">
                  <c:v>Hamza</c:v>
                </c:pt>
                <c:pt idx="6">
                  <c:v>Hina</c:v>
                </c:pt>
                <c:pt idx="7">
                  <c:v>Sara</c:v>
                </c:pt>
                <c:pt idx="8">
                  <c:v>Usman</c:v>
                </c:pt>
                <c:pt idx="9">
                  <c:v>Zain</c:v>
                </c:pt>
              </c:strCache>
            </c:strRef>
          </c:cat>
          <c:val>
            <c:numRef>
              <c:f>Pivots!$I$3:$I$13</c:f>
              <c:numCache>
                <c:formatCode>General</c:formatCode>
                <c:ptCount val="10"/>
                <c:pt idx="0">
                  <c:v>8392347.5</c:v>
                </c:pt>
                <c:pt idx="1">
                  <c:v>16249705</c:v>
                </c:pt>
                <c:pt idx="2">
                  <c:v>10631537.5</c:v>
                </c:pt>
                <c:pt idx="3">
                  <c:v>8695777.5</c:v>
                </c:pt>
                <c:pt idx="4">
                  <c:v>10275082.5</c:v>
                </c:pt>
                <c:pt idx="5">
                  <c:v>12407277.5</c:v>
                </c:pt>
                <c:pt idx="6">
                  <c:v>9324817.5</c:v>
                </c:pt>
                <c:pt idx="7">
                  <c:v>6091995</c:v>
                </c:pt>
                <c:pt idx="8">
                  <c:v>8404842.5</c:v>
                </c:pt>
                <c:pt idx="9">
                  <c:v>10992475</c:v>
                </c:pt>
              </c:numCache>
            </c:numRef>
          </c:val>
          <c:extLst>
            <c:ext xmlns:c16="http://schemas.microsoft.com/office/drawing/2014/chart" uri="{C3380CC4-5D6E-409C-BE32-E72D297353CC}">
              <c16:uniqueId val="{00000000-BDBE-46C3-ADF1-135A87A94DE6}"/>
            </c:ext>
          </c:extLst>
        </c:ser>
        <c:dLbls>
          <c:showLegendKey val="0"/>
          <c:showVal val="0"/>
          <c:showCatName val="0"/>
          <c:showSerName val="0"/>
          <c:showPercent val="0"/>
          <c:showBubbleSize val="0"/>
        </c:dLbls>
        <c:gapWidth val="219"/>
        <c:overlap val="-27"/>
        <c:axId val="829956639"/>
        <c:axId val="829958079"/>
      </c:barChart>
      <c:catAx>
        <c:axId val="82995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958079"/>
        <c:crosses val="autoZero"/>
        <c:auto val="1"/>
        <c:lblAlgn val="ctr"/>
        <c:lblOffset val="100"/>
        <c:noMultiLvlLbl val="0"/>
      </c:catAx>
      <c:valAx>
        <c:axId val="829958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956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127000">
        <a:schemeClr val="accent2">
          <a:lumMod val="40000"/>
          <a:lumOff val="6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76200</xdr:colOff>
      <xdr:row>11</xdr:row>
      <xdr:rowOff>88900</xdr:rowOff>
    </xdr:from>
    <xdr:to>
      <xdr:col>15</xdr:col>
      <xdr:colOff>336550</xdr:colOff>
      <xdr:row>26</xdr:row>
      <xdr:rowOff>69850</xdr:rowOff>
    </xdr:to>
    <xdr:graphicFrame macro="">
      <xdr:nvGraphicFramePr>
        <xdr:cNvPr id="3" name="Chart 6">
          <a:extLst>
            <a:ext uri="{FF2B5EF4-FFF2-40B4-BE49-F238E27FC236}">
              <a16:creationId xmlns:a16="http://schemas.microsoft.com/office/drawing/2014/main" id="{F454FC3F-71E3-9154-3D2A-E8453AED96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254000</xdr:colOff>
      <xdr:row>5</xdr:row>
      <xdr:rowOff>222251</xdr:rowOff>
    </xdr:from>
    <xdr:to>
      <xdr:col>13</xdr:col>
      <xdr:colOff>12700</xdr:colOff>
      <xdr:row>9</xdr:row>
      <xdr:rowOff>146050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DE5FF9F9-FE36-4789-A110-34DF83171E5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092950" y="1454151"/>
              <a:ext cx="2806700" cy="933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196850</xdr:colOff>
      <xdr:row>1</xdr:row>
      <xdr:rowOff>12701</xdr:rowOff>
    </xdr:from>
    <xdr:to>
      <xdr:col>8</xdr:col>
      <xdr:colOff>196850</xdr:colOff>
      <xdr:row>5</xdr:row>
      <xdr:rowOff>177801</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59D1CFCA-413E-4517-ACEF-0A75F0F9159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07000" y="203201"/>
              <a:ext cx="1828800" cy="1206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247650</xdr:colOff>
      <xdr:row>1</xdr:row>
      <xdr:rowOff>12701</xdr:rowOff>
    </xdr:from>
    <xdr:to>
      <xdr:col>13</xdr:col>
      <xdr:colOff>6350</xdr:colOff>
      <xdr:row>5</xdr:row>
      <xdr:rowOff>196850</xdr:rowOff>
    </xdr:to>
    <mc:AlternateContent xmlns:mc="http://schemas.openxmlformats.org/markup-compatibility/2006" xmlns:a14="http://schemas.microsoft.com/office/drawing/2010/main">
      <mc:Choice Requires="a14">
        <xdr:graphicFrame macro="">
          <xdr:nvGraphicFramePr>
            <xdr:cNvPr id="6" name="Sales person">
              <a:extLst>
                <a:ext uri="{FF2B5EF4-FFF2-40B4-BE49-F238E27FC236}">
                  <a16:creationId xmlns:a16="http://schemas.microsoft.com/office/drawing/2014/main" id="{52259859-944C-48D6-B071-E7EDAD68B538}"/>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7086600" y="203201"/>
              <a:ext cx="2806700" cy="1225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196850</xdr:colOff>
      <xdr:row>5</xdr:row>
      <xdr:rowOff>222251</xdr:rowOff>
    </xdr:from>
    <xdr:to>
      <xdr:col>8</xdr:col>
      <xdr:colOff>196850</xdr:colOff>
      <xdr:row>9</xdr:row>
      <xdr:rowOff>139700</xdr:rowOff>
    </xdr:to>
    <mc:AlternateContent xmlns:mc="http://schemas.openxmlformats.org/markup-compatibility/2006" xmlns:a14="http://schemas.microsoft.com/office/drawing/2010/main">
      <mc:Choice Requires="a14">
        <xdr:graphicFrame macro="">
          <xdr:nvGraphicFramePr>
            <xdr:cNvPr id="7" name="Payment Method">
              <a:extLst>
                <a:ext uri="{FF2B5EF4-FFF2-40B4-BE49-F238E27FC236}">
                  <a16:creationId xmlns:a16="http://schemas.microsoft.com/office/drawing/2014/main" id="{DDFEABA5-3C0D-4F4C-943C-55BC638F8975}"/>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5207000" y="1454151"/>
              <a:ext cx="1828800" cy="927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69850</xdr:colOff>
      <xdr:row>1</xdr:row>
      <xdr:rowOff>12701</xdr:rowOff>
    </xdr:from>
    <xdr:to>
      <xdr:col>16</xdr:col>
      <xdr:colOff>69850</xdr:colOff>
      <xdr:row>9</xdr:row>
      <xdr:rowOff>171451</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7CFEA645-AD95-4820-9BA6-53A3839E28F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956800" y="203201"/>
              <a:ext cx="1828800" cy="2209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82550</xdr:colOff>
      <xdr:row>11</xdr:row>
      <xdr:rowOff>95250</xdr:rowOff>
    </xdr:from>
    <xdr:to>
      <xdr:col>4</xdr:col>
      <xdr:colOff>406400</xdr:colOff>
      <xdr:row>26</xdr:row>
      <xdr:rowOff>76200</xdr:rowOff>
    </xdr:to>
    <xdr:graphicFrame macro="">
      <xdr:nvGraphicFramePr>
        <xdr:cNvPr id="9" name="Chart 8">
          <a:extLst>
            <a:ext uri="{FF2B5EF4-FFF2-40B4-BE49-F238E27FC236}">
              <a16:creationId xmlns:a16="http://schemas.microsoft.com/office/drawing/2014/main" id="{278492FE-388C-4AD3-B112-FB82A0FCC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476250</xdr:colOff>
      <xdr:row>28</xdr:row>
      <xdr:rowOff>95250</xdr:rowOff>
    </xdr:from>
    <xdr:to>
      <xdr:col>11</xdr:col>
      <xdr:colOff>577850</xdr:colOff>
      <xdr:row>43</xdr:row>
      <xdr:rowOff>76200</xdr:rowOff>
    </xdr:to>
    <xdr:graphicFrame macro="">
      <xdr:nvGraphicFramePr>
        <xdr:cNvPr id="10" name="Chart 9">
          <a:extLst>
            <a:ext uri="{FF2B5EF4-FFF2-40B4-BE49-F238E27FC236}">
              <a16:creationId xmlns:a16="http://schemas.microsoft.com/office/drawing/2014/main" id="{347E2A5C-4A98-4557-9C17-A16F649DD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165100</xdr:colOff>
      <xdr:row>44</xdr:row>
      <xdr:rowOff>177800</xdr:rowOff>
    </xdr:from>
    <xdr:to>
      <xdr:col>4</xdr:col>
      <xdr:colOff>488950</xdr:colOff>
      <xdr:row>59</xdr:row>
      <xdr:rowOff>158750</xdr:rowOff>
    </xdr:to>
    <xdr:graphicFrame macro="">
      <xdr:nvGraphicFramePr>
        <xdr:cNvPr id="2" name="Chart 1">
          <a:extLst>
            <a:ext uri="{FF2B5EF4-FFF2-40B4-BE49-F238E27FC236}">
              <a16:creationId xmlns:a16="http://schemas.microsoft.com/office/drawing/2014/main" id="{3EE46696-9FA8-483B-A00C-988987DDDF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45</xdr:row>
      <xdr:rowOff>0</xdr:rowOff>
    </xdr:from>
    <xdr:to>
      <xdr:col>15</xdr:col>
      <xdr:colOff>304800</xdr:colOff>
      <xdr:row>59</xdr:row>
      <xdr:rowOff>165100</xdr:rowOff>
    </xdr:to>
    <xdr:graphicFrame macro="">
      <xdr:nvGraphicFramePr>
        <xdr:cNvPr id="11" name="Chart 10">
          <a:extLst>
            <a:ext uri="{FF2B5EF4-FFF2-40B4-BE49-F238E27FC236}">
              <a16:creationId xmlns:a16="http://schemas.microsoft.com/office/drawing/2014/main" id="{3E84FAD0-0AB4-41FA-BA84-690EEBF3FA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Hp" refreshedDate="46321.286172569446" createdVersion="8" refreshedVersion="8" minRefreshableVersion="3" recordCount="1000" xr:uid="{C4C43483-F488-47AA-AB36-241B62C0E417}">
  <cacheSource type="worksheet">
    <worksheetSource name="SalesData"/>
  </cacheSource>
  <cacheFields count="17">
    <cacheField name="Order ID" numFmtId="0">
      <sharedItems/>
    </cacheField>
    <cacheField name="Order Date" numFmtId="14">
      <sharedItems containsSemiMixedTypes="0" containsNonDate="0" containsDate="1" containsString="0" minDate="2024-01-02T00:00:00" maxDate="2026-01-01T00:00:00" count="552">
        <d v="2024-04-25T00:00:00"/>
        <d v="2025-03-13T00:00:00"/>
        <d v="2025-07-10T00:00:00"/>
        <d v="2024-04-18T00:00:00"/>
        <d v="2024-08-02T00:00:00"/>
        <d v="2024-07-04T00:00:00"/>
        <d v="2025-03-24T00:00:00"/>
        <d v="2025-03-04T00:00:00"/>
        <d v="2024-08-24T00:00:00"/>
        <d v="2025-09-12T00:00:00"/>
        <d v="2024-08-29T00:00:00"/>
        <d v="2025-12-14T00:00:00"/>
        <d v="2024-03-05T00:00:00"/>
        <d v="2024-03-14T00:00:00"/>
        <d v="2025-05-02T00:00:00"/>
        <d v="2024-03-23T00:00:00"/>
        <d v="2025-09-29T00:00:00"/>
        <d v="2024-12-01T00:00:00"/>
        <d v="2024-04-19T00:00:00"/>
        <d v="2024-06-20T00:00:00"/>
        <d v="2024-12-07T00:00:00"/>
        <d v="2025-04-23T00:00:00"/>
        <d v="2025-05-10T00:00:00"/>
        <d v="2025-11-04T00:00:00"/>
        <d v="2024-08-13T00:00:00"/>
        <d v="2024-03-31T00:00:00"/>
        <d v="2024-08-08T00:00:00"/>
        <d v="2024-04-10T00:00:00"/>
        <d v="2025-06-22T00:00:00"/>
        <d v="2024-02-09T00:00:00"/>
        <d v="2025-04-03T00:00:00"/>
        <d v="2024-05-05T00:00:00"/>
        <d v="2024-09-03T00:00:00"/>
        <d v="2025-07-25T00:00:00"/>
        <d v="2025-08-29T00:00:00"/>
        <d v="2024-01-16T00:00:00"/>
        <d v="2025-03-29T00:00:00"/>
        <d v="2024-07-31T00:00:00"/>
        <d v="2025-12-02T00:00:00"/>
        <d v="2024-11-25T00:00:00"/>
        <d v="2024-01-07T00:00:00"/>
        <d v="2024-02-13T00:00:00"/>
        <d v="2024-07-12T00:00:00"/>
        <d v="2025-12-16T00:00:00"/>
        <d v="2025-11-09T00:00:00"/>
        <d v="2024-09-09T00:00:00"/>
        <d v="2025-10-31T00:00:00"/>
        <d v="2024-10-03T00:00:00"/>
        <d v="2025-06-20T00:00:00"/>
        <d v="2024-01-09T00:00:00"/>
        <d v="2025-02-14T00:00:00"/>
        <d v="2024-02-01T00:00:00"/>
        <d v="2025-09-27T00:00:00"/>
        <d v="2024-05-08T00:00:00"/>
        <d v="2025-04-15T00:00:00"/>
        <d v="2025-08-21T00:00:00"/>
        <d v="2025-04-08T00:00:00"/>
        <d v="2024-12-30T00:00:00"/>
        <d v="2025-09-20T00:00:00"/>
        <d v="2024-07-01T00:00:00"/>
        <d v="2024-09-21T00:00:00"/>
        <d v="2024-12-16T00:00:00"/>
        <d v="2025-11-17T00:00:00"/>
        <d v="2024-07-27T00:00:00"/>
        <d v="2025-11-08T00:00:00"/>
        <d v="2025-03-20T00:00:00"/>
        <d v="2025-09-11T00:00:00"/>
        <d v="2024-10-26T00:00:00"/>
        <d v="2024-04-26T00:00:00"/>
        <d v="2024-02-02T00:00:00"/>
        <d v="2024-06-26T00:00:00"/>
        <d v="2025-07-04T00:00:00"/>
        <d v="2024-11-16T00:00:00"/>
        <d v="2024-11-12T00:00:00"/>
        <d v="2024-02-20T00:00:00"/>
        <d v="2024-03-06T00:00:00"/>
        <d v="2024-06-10T00:00:00"/>
        <d v="2024-05-07T00:00:00"/>
        <d v="2024-02-16T00:00:00"/>
        <d v="2025-09-16T00:00:00"/>
        <d v="2025-07-22T00:00:00"/>
        <d v="2025-01-09T00:00:00"/>
        <d v="2024-01-21T00:00:00"/>
        <d v="2024-08-18T00:00:00"/>
        <d v="2024-09-26T00:00:00"/>
        <d v="2025-10-06T00:00:00"/>
        <d v="2025-11-15T00:00:00"/>
        <d v="2024-02-17T00:00:00"/>
        <d v="2025-01-26T00:00:00"/>
        <d v="2025-04-01T00:00:00"/>
        <d v="2025-02-07T00:00:00"/>
        <d v="2025-10-09T00:00:00"/>
        <d v="2025-06-01T00:00:00"/>
        <d v="2024-03-22T00:00:00"/>
        <d v="2025-08-13T00:00:00"/>
        <d v="2025-07-13T00:00:00"/>
        <d v="2025-10-13T00:00:00"/>
        <d v="2024-11-06T00:00:00"/>
        <d v="2024-06-30T00:00:00"/>
        <d v="2025-05-19T00:00:00"/>
        <d v="2025-10-22T00:00:00"/>
        <d v="2025-02-05T00:00:00"/>
        <d v="2025-09-01T00:00:00"/>
        <d v="2024-03-19T00:00:00"/>
        <d v="2024-08-16T00:00:00"/>
        <d v="2024-08-04T00:00:00"/>
        <d v="2025-02-21T00:00:00"/>
        <d v="2024-06-12T00:00:00"/>
        <d v="2025-04-06T00:00:00"/>
        <d v="2024-01-29T00:00:00"/>
        <d v="2024-12-27T00:00:00"/>
        <d v="2024-12-06T00:00:00"/>
        <d v="2024-09-22T00:00:00"/>
        <d v="2024-03-01T00:00:00"/>
        <d v="2024-12-12T00:00:00"/>
        <d v="2024-03-07T00:00:00"/>
        <d v="2025-11-03T00:00:00"/>
        <d v="2024-07-14T00:00:00"/>
        <d v="2024-05-22T00:00:00"/>
        <d v="2025-12-18T00:00:00"/>
        <d v="2024-01-08T00:00:00"/>
        <d v="2024-04-15T00:00:00"/>
        <d v="2025-10-26T00:00:00"/>
        <d v="2025-08-24T00:00:00"/>
        <d v="2024-09-17T00:00:00"/>
        <d v="2025-07-28T00:00:00"/>
        <d v="2025-05-06T00:00:00"/>
        <d v="2025-12-23T00:00:00"/>
        <d v="2025-10-29T00:00:00"/>
        <d v="2025-09-18T00:00:00"/>
        <d v="2024-08-15T00:00:00"/>
        <d v="2024-03-29T00:00:00"/>
        <d v="2025-12-04T00:00:00"/>
        <d v="2024-09-11T00:00:00"/>
        <d v="2025-02-03T00:00:00"/>
        <d v="2024-05-17T00:00:00"/>
        <d v="2025-05-31T00:00:00"/>
        <d v="2025-10-21T00:00:00"/>
        <d v="2025-02-24T00:00:00"/>
        <d v="2024-03-10T00:00:00"/>
        <d v="2024-11-09T00:00:00"/>
        <d v="2025-10-14T00:00:00"/>
        <d v="2024-09-18T00:00:00"/>
        <d v="2025-09-09T00:00:00"/>
        <d v="2024-12-09T00:00:00"/>
        <d v="2024-02-21T00:00:00"/>
        <d v="2025-05-18T00:00:00"/>
        <d v="2025-05-22T00:00:00"/>
        <d v="2025-03-25T00:00:00"/>
        <d v="2025-07-11T00:00:00"/>
        <d v="2025-01-20T00:00:00"/>
        <d v="2025-08-15T00:00:00"/>
        <d v="2025-11-29T00:00:00"/>
        <d v="2024-06-25T00:00:00"/>
        <d v="2025-10-25T00:00:00"/>
        <d v="2025-06-05T00:00:00"/>
        <d v="2025-03-15T00:00:00"/>
        <d v="2025-12-19T00:00:00"/>
        <d v="2024-03-25T00:00:00"/>
        <d v="2024-12-29T00:00:00"/>
        <d v="2024-09-12T00:00:00"/>
        <d v="2024-08-01T00:00:00"/>
        <d v="2025-01-04T00:00:00"/>
        <d v="2024-02-06T00:00:00"/>
        <d v="2024-08-27T00:00:00"/>
        <d v="2024-07-24T00:00:00"/>
        <d v="2024-04-06T00:00:00"/>
        <d v="2024-09-13T00:00:00"/>
        <d v="2024-07-09T00:00:00"/>
        <d v="2024-11-08T00:00:00"/>
        <d v="2025-10-10T00:00:00"/>
        <d v="2025-05-30T00:00:00"/>
        <d v="2024-05-16T00:00:00"/>
        <d v="2024-07-08T00:00:00"/>
        <d v="2024-10-20T00:00:00"/>
        <d v="2024-08-03T00:00:00"/>
        <d v="2025-11-12T00:00:00"/>
        <d v="2024-12-21T00:00:00"/>
        <d v="2025-11-22T00:00:00"/>
        <d v="2025-06-03T00:00:00"/>
        <d v="2024-07-18T00:00:00"/>
        <d v="2024-02-11T00:00:00"/>
        <d v="2024-05-12T00:00:00"/>
        <d v="2025-03-16T00:00:00"/>
        <d v="2024-03-02T00:00:00"/>
        <d v="2025-03-08T00:00:00"/>
        <d v="2024-04-16T00:00:00"/>
        <d v="2024-01-15T00:00:00"/>
        <d v="2025-09-24T00:00:00"/>
        <d v="2025-07-26T00:00:00"/>
        <d v="2024-11-29T00:00:00"/>
        <d v="2024-03-15T00:00:00"/>
        <d v="2025-06-15T00:00:00"/>
        <d v="2025-01-24T00:00:00"/>
        <d v="2025-05-29T00:00:00"/>
        <d v="2025-04-20T00:00:00"/>
        <d v="2025-06-17T00:00:00"/>
        <d v="2024-12-19T00:00:00"/>
        <d v="2024-03-03T00:00:00"/>
        <d v="2025-05-15T00:00:00"/>
        <d v="2025-08-12T00:00:00"/>
        <d v="2025-11-02T00:00:00"/>
        <d v="2024-06-19T00:00:00"/>
        <d v="2024-05-25T00:00:00"/>
        <d v="2025-02-06T00:00:00"/>
        <d v="2024-04-03T00:00:00"/>
        <d v="2025-12-20T00:00:00"/>
        <d v="2025-06-14T00:00:00"/>
        <d v="2025-09-19T00:00:00"/>
        <d v="2025-12-28T00:00:00"/>
        <d v="2025-06-06T00:00:00"/>
        <d v="2024-03-26T00:00:00"/>
        <d v="2024-09-01T00:00:00"/>
        <d v="2025-03-31T00:00:00"/>
        <d v="2024-07-23T00:00:00"/>
        <d v="2024-01-27T00:00:00"/>
        <d v="2024-08-31T00:00:00"/>
        <d v="2025-10-11T00:00:00"/>
        <d v="2024-01-23T00:00:00"/>
        <d v="2025-09-03T00:00:00"/>
        <d v="2024-04-01T00:00:00"/>
        <d v="2025-08-22T00:00:00"/>
        <d v="2024-09-24T00:00:00"/>
        <d v="2025-09-25T00:00:00"/>
        <d v="2025-05-14T00:00:00"/>
        <d v="2024-09-29T00:00:00"/>
        <d v="2025-01-27T00:00:00"/>
        <d v="2024-02-07T00:00:00"/>
        <d v="2024-01-30T00:00:00"/>
        <d v="2024-12-23T00:00:00"/>
        <d v="2025-01-23T00:00:00"/>
        <d v="2025-02-26T00:00:00"/>
        <d v="2025-01-29T00:00:00"/>
        <d v="2025-04-26T00:00:00"/>
        <d v="2025-07-17T00:00:00"/>
        <d v="2025-04-17T00:00:00"/>
        <d v="2024-12-22T00:00:00"/>
        <d v="2024-12-08T00:00:00"/>
        <d v="2024-06-28T00:00:00"/>
        <d v="2024-03-09T00:00:00"/>
        <d v="2025-11-18T00:00:00"/>
        <d v="2025-01-10T00:00:00"/>
        <d v="2025-04-27T00:00:00"/>
        <d v="2025-12-21T00:00:00"/>
        <d v="2024-04-09T00:00:00"/>
        <d v="2024-09-10T00:00:00"/>
        <d v="2024-07-13T00:00:00"/>
        <d v="2024-09-02T00:00:00"/>
        <d v="2024-06-01T00:00:00"/>
        <d v="2025-12-06T00:00:00"/>
        <d v="2024-07-06T00:00:00"/>
        <d v="2025-02-22T00:00:00"/>
        <d v="2024-12-13T00:00:00"/>
        <d v="2025-05-23T00:00:00"/>
        <d v="2025-12-31T00:00:00"/>
        <d v="2024-10-27T00:00:00"/>
        <d v="2024-05-30T00:00:00"/>
        <d v="2024-02-08T00:00:00"/>
        <d v="2025-02-20T00:00:00"/>
        <d v="2025-08-14T00:00:00"/>
        <d v="2024-02-05T00:00:00"/>
        <d v="2025-05-12T00:00:00"/>
        <d v="2024-06-08T00:00:00"/>
        <d v="2025-08-02T00:00:00"/>
        <d v="2024-02-26T00:00:00"/>
        <d v="2024-05-14T00:00:00"/>
        <d v="2025-09-21T00:00:00"/>
        <d v="2024-12-04T00:00:00"/>
        <d v="2024-12-05T00:00:00"/>
        <d v="2024-10-08T00:00:00"/>
        <d v="2024-11-24T00:00:00"/>
        <d v="2024-06-22T00:00:00"/>
        <d v="2024-10-07T00:00:00"/>
        <d v="2024-02-29T00:00:00"/>
        <d v="2024-05-18T00:00:00"/>
        <d v="2024-12-24T00:00:00"/>
        <d v="2024-10-01T00:00:00"/>
        <d v="2024-12-03T00:00:00"/>
        <d v="2024-04-21T00:00:00"/>
        <d v="2025-07-08T00:00:00"/>
        <d v="2024-09-28T00:00:00"/>
        <d v="2024-08-07T00:00:00"/>
        <d v="2024-11-22T00:00:00"/>
        <d v="2024-07-07T00:00:00"/>
        <d v="2024-01-25T00:00:00"/>
        <d v="2025-05-01T00:00:00"/>
        <d v="2025-09-17T00:00:00"/>
        <d v="2025-08-06T00:00:00"/>
        <d v="2024-07-19T00:00:00"/>
        <d v="2025-11-14T00:00:00"/>
        <d v="2024-02-24T00:00:00"/>
        <d v="2024-04-30T00:00:00"/>
        <d v="2024-05-31T00:00:00"/>
        <d v="2025-02-11T00:00:00"/>
        <d v="2025-05-27T00:00:00"/>
        <d v="2024-10-02T00:00:00"/>
        <d v="2024-03-18T00:00:00"/>
        <d v="2025-01-08T00:00:00"/>
        <d v="2025-12-27T00:00:00"/>
        <d v="2024-08-06T00:00:00"/>
        <d v="2025-03-30T00:00:00"/>
        <d v="2024-05-09T00:00:00"/>
        <d v="2024-04-02T00:00:00"/>
        <d v="2024-11-10T00:00:00"/>
        <d v="2025-11-05T00:00:00"/>
        <d v="2024-04-12T00:00:00"/>
        <d v="2024-11-02T00:00:00"/>
        <d v="2024-01-19T00:00:00"/>
        <d v="2025-02-02T00:00:00"/>
        <d v="2025-12-13T00:00:00"/>
        <d v="2025-12-01T00:00:00"/>
        <d v="2025-12-03T00:00:00"/>
        <d v="2024-04-23T00:00:00"/>
        <d v="2024-06-13T00:00:00"/>
        <d v="2024-08-10T00:00:00"/>
        <d v="2024-01-24T00:00:00"/>
        <d v="2025-05-04T00:00:00"/>
        <d v="2025-03-26T00:00:00"/>
        <d v="2025-06-16T00:00:00"/>
        <d v="2024-01-04T00:00:00"/>
        <d v="2025-04-04T00:00:00"/>
        <d v="2025-02-09T00:00:00"/>
        <d v="2024-10-17T00:00:00"/>
        <d v="2025-01-31T00:00:00"/>
        <d v="2025-05-21T00:00:00"/>
        <d v="2025-01-15T00:00:00"/>
        <d v="2024-02-27T00:00:00"/>
        <d v="2025-11-26T00:00:00"/>
        <d v="2025-06-12T00:00:00"/>
        <d v="2024-06-24T00:00:00"/>
        <d v="2024-05-04T00:00:00"/>
        <d v="2024-03-08T00:00:00"/>
        <d v="2025-09-07T00:00:00"/>
        <d v="2024-02-04T00:00:00"/>
        <d v="2024-10-10T00:00:00"/>
        <d v="2025-06-24T00:00:00"/>
        <d v="2025-11-01T00:00:00"/>
        <d v="2024-12-17T00:00:00"/>
        <d v="2025-07-12T00:00:00"/>
        <d v="2025-09-30T00:00:00"/>
        <d v="2024-01-22T00:00:00"/>
        <d v="2024-11-13T00:00:00"/>
        <d v="2024-11-27T00:00:00"/>
        <d v="2025-04-22T00:00:00"/>
        <d v="2024-09-25T00:00:00"/>
        <d v="2024-05-10T00:00:00"/>
        <d v="2024-06-11T00:00:00"/>
        <d v="2025-09-06T00:00:00"/>
        <d v="2025-07-05T00:00:00"/>
        <d v="2025-01-06T00:00:00"/>
        <d v="2024-06-05T00:00:00"/>
        <d v="2024-07-29T00:00:00"/>
        <d v="2024-03-21T00:00:00"/>
        <d v="2025-01-07T00:00:00"/>
        <d v="2025-02-27T00:00:00"/>
        <d v="2024-01-14T00:00:00"/>
        <d v="2025-12-08T00:00:00"/>
        <d v="2025-11-13T00:00:00"/>
        <d v="2024-07-30T00:00:00"/>
        <d v="2025-07-30T00:00:00"/>
        <d v="2025-09-10T00:00:00"/>
        <d v="2024-06-29T00:00:00"/>
        <d v="2024-06-02T00:00:00"/>
        <d v="2024-02-19T00:00:00"/>
        <d v="2024-09-23T00:00:00"/>
        <d v="2025-11-19T00:00:00"/>
        <d v="2024-04-08T00:00:00"/>
        <d v="2025-08-30T00:00:00"/>
        <d v="2024-08-22T00:00:00"/>
        <d v="2025-10-16T00:00:00"/>
        <d v="2024-05-21T00:00:00"/>
        <d v="2024-02-18T00:00:00"/>
        <d v="2025-08-16T00:00:00"/>
        <d v="2024-02-28T00:00:00"/>
        <d v="2025-08-31T00:00:00"/>
        <d v="2025-06-25T00:00:00"/>
        <d v="2024-04-17T00:00:00"/>
        <d v="2025-11-06T00:00:00"/>
        <d v="2025-11-11T00:00:00"/>
        <d v="2024-01-31T00:00:00"/>
        <d v="2025-02-13T00:00:00"/>
        <d v="2025-01-03T00:00:00"/>
        <d v="2024-09-14T00:00:00"/>
        <d v="2024-08-28T00:00:00"/>
        <d v="2024-12-28T00:00:00"/>
        <d v="2025-01-05T00:00:00"/>
        <d v="2025-02-18T00:00:00"/>
        <d v="2025-07-20T00:00:00"/>
        <d v="2024-10-29T00:00:00"/>
        <d v="2024-07-17T00:00:00"/>
        <d v="2025-02-23T00:00:00"/>
        <d v="2024-12-15T00:00:00"/>
        <d v="2024-07-25T00:00:00"/>
        <d v="2025-04-07T00:00:00"/>
        <d v="2024-11-01T00:00:00"/>
        <d v="2025-07-23T00:00:00"/>
        <d v="2025-08-08T00:00:00"/>
        <d v="2025-01-28T00:00:00"/>
        <d v="2025-01-01T00:00:00"/>
        <d v="2024-03-27T00:00:00"/>
        <d v="2024-03-16T00:00:00"/>
        <d v="2024-11-07T00:00:00"/>
        <d v="2025-12-26T00:00:00"/>
        <d v="2025-06-23T00:00:00"/>
        <d v="2025-04-10T00:00:00"/>
        <d v="2024-07-22T00:00:00"/>
        <d v="2024-08-30T00:00:00"/>
        <d v="2024-04-28T00:00:00"/>
        <d v="2024-07-11T00:00:00"/>
        <d v="2025-02-17T00:00:00"/>
        <d v="2024-12-18T00:00:00"/>
        <d v="2025-04-11T00:00:00"/>
        <d v="2024-08-05T00:00:00"/>
        <d v="2024-09-16T00:00:00"/>
        <d v="2024-05-20T00:00:00"/>
        <d v="2025-11-20T00:00:00"/>
        <d v="2025-03-05T00:00:00"/>
        <d v="2024-02-25T00:00:00"/>
        <d v="2024-07-03T00:00:00"/>
        <d v="2025-10-23T00:00:00"/>
        <d v="2024-12-11T00:00:00"/>
        <d v="2024-05-01T00:00:00"/>
        <d v="2025-12-22T00:00:00"/>
        <d v="2025-10-15T00:00:00"/>
        <d v="2025-10-12T00:00:00"/>
        <d v="2024-11-26T00:00:00"/>
        <d v="2024-03-13T00:00:00"/>
        <d v="2024-05-24T00:00:00"/>
        <d v="2024-09-04T00:00:00"/>
        <d v="2024-01-11T00:00:00"/>
        <d v="2025-02-25T00:00:00"/>
        <d v="2025-10-04T00:00:00"/>
        <d v="2025-05-03T00:00:00"/>
        <d v="2025-10-20T00:00:00"/>
        <d v="2025-08-03T00:00:00"/>
        <d v="2024-07-15T00:00:00"/>
        <d v="2025-05-09T00:00:00"/>
        <d v="2025-07-27T00:00:00"/>
        <d v="2024-12-14T00:00:00"/>
        <d v="2024-10-12T00:00:00"/>
        <d v="2025-04-09T00:00:00"/>
        <d v="2024-11-30T00:00:00"/>
        <d v="2025-02-19T00:00:00"/>
        <d v="2025-07-24T00:00:00"/>
        <d v="2024-12-25T00:00:00"/>
        <d v="2025-12-25T00:00:00"/>
        <d v="2025-09-13T00:00:00"/>
        <d v="2025-08-11T00:00:00"/>
        <d v="2024-10-28T00:00:00"/>
        <d v="2024-01-06T00:00:00"/>
        <d v="2025-11-21T00:00:00"/>
        <d v="2025-10-01T00:00:00"/>
        <d v="2025-07-18T00:00:00"/>
        <d v="2024-08-19T00:00:00"/>
        <d v="2025-06-29T00:00:00"/>
        <d v="2024-10-31T00:00:00"/>
        <d v="2024-06-21T00:00:00"/>
        <d v="2025-09-05T00:00:00"/>
        <d v="2025-07-02T00:00:00"/>
        <d v="2025-08-26T00:00:00"/>
        <d v="2024-07-21T00:00:00"/>
        <d v="2024-05-13T00:00:00"/>
        <d v="2025-07-03T00:00:00"/>
        <d v="2025-07-09T00:00:00"/>
        <d v="2025-08-18T00:00:00"/>
        <d v="2024-10-25T00:00:00"/>
        <d v="2025-05-28T00:00:00"/>
        <d v="2025-08-28T00:00:00"/>
        <d v="2024-01-03T00:00:00"/>
        <d v="2025-03-03T00:00:00"/>
        <d v="2025-05-17T00:00:00"/>
        <d v="2025-01-13T00:00:00"/>
        <d v="2025-03-01T00:00:00"/>
        <d v="2025-02-12T00:00:00"/>
        <d v="2025-03-22T00:00:00"/>
        <d v="2025-03-17T00:00:00"/>
        <d v="2025-08-25T00:00:00"/>
        <d v="2025-06-07T00:00:00"/>
        <d v="2025-01-21T00:00:00"/>
        <d v="2025-11-25T00:00:00"/>
        <d v="2024-07-10T00:00:00"/>
        <d v="2025-02-28T00:00:00"/>
        <d v="2025-09-15T00:00:00"/>
        <d v="2024-08-25T00:00:00"/>
        <d v="2025-10-30T00:00:00"/>
        <d v="2024-09-27T00:00:00"/>
        <d v="2025-09-04T00:00:00"/>
        <d v="2024-08-09T00:00:00"/>
        <d v="2024-12-10T00:00:00"/>
        <d v="2025-04-21T00:00:00"/>
        <d v="2025-05-11T00:00:00"/>
        <d v="2025-03-10T00:00:00"/>
        <d v="2025-04-14T00:00:00"/>
        <d v="2024-01-17T00:00:00"/>
        <d v="2025-04-24T00:00:00"/>
        <d v="2024-09-20T00:00:00"/>
        <d v="2024-08-26T00:00:00"/>
        <d v="2024-05-03T00:00:00"/>
        <d v="2024-07-02T00:00:00"/>
        <d v="2024-01-13T00:00:00"/>
        <d v="2024-11-20T00:00:00"/>
        <d v="2025-04-25T00:00:00"/>
        <d v="2025-02-08T00:00:00"/>
        <d v="2025-03-11T00:00:00"/>
        <d v="2024-02-15T00:00:00"/>
        <d v="2025-04-16T00:00:00"/>
        <d v="2024-06-07T00:00:00"/>
        <d v="2024-06-09T00:00:00"/>
        <d v="2024-01-02T00:00:00"/>
        <d v="2025-07-14T00:00:00"/>
        <d v="2024-10-14T00:00:00"/>
        <d v="2025-06-19T00:00:00"/>
        <d v="2025-06-13T00:00:00"/>
        <d v="2025-10-07T00:00:00"/>
        <d v="2025-06-30T00:00:00"/>
        <d v="2024-01-12T00:00:00"/>
        <d v="2025-09-08T00:00:00"/>
        <d v="2025-12-11T00:00:00"/>
        <d v="2025-05-24T00:00:00"/>
        <d v="2025-11-24T00:00:00"/>
        <d v="2025-01-19T00:00:00"/>
        <d v="2024-06-27T00:00:00"/>
        <d v="2025-01-30T00:00:00"/>
        <d v="2024-03-11T00:00:00"/>
        <d v="2024-06-23T00:00:00"/>
        <d v="2025-12-24T00:00:00"/>
        <d v="2025-12-12T00:00:00"/>
        <d v="2024-08-12T00:00:00"/>
        <d v="2024-10-06T00:00:00"/>
        <d v="2024-04-29T00:00:00"/>
        <d v="2025-11-07T00:00:00"/>
        <d v="2025-09-02T00:00:00"/>
        <d v="2025-08-01T00:00:00"/>
        <d v="2024-09-06T00:00:00"/>
        <d v="2024-11-18T00:00:00"/>
        <d v="2024-07-28T00:00:00"/>
        <d v="2025-08-19T00:00:00"/>
        <d v="2024-04-05T00:00:00"/>
        <d v="2025-07-15T00:00:00"/>
        <d v="2025-12-30T00:00:00"/>
        <d v="2025-12-07T00:00:00"/>
        <d v="2025-01-22T00:00:00"/>
        <d v="2025-09-22T00:00:00"/>
        <d v="2024-11-21T00:00:00"/>
        <d v="2024-09-08T00:00:00"/>
        <d v="2024-03-20T00:00:00"/>
        <d v="2024-09-07T00:00:00"/>
        <d v="2024-08-17T00:00:00"/>
        <d v="2024-10-18T00:00:00"/>
        <d v="2025-12-10T00:00:00"/>
        <d v="2024-08-20T00:00:00"/>
        <d v="2025-01-02T00:00:00"/>
      </sharedItems>
      <fieldGroup par="16"/>
    </cacheField>
    <cacheField name="Customer Name" numFmtId="0">
      <sharedItems/>
    </cacheField>
    <cacheField name="City" numFmtId="0">
      <sharedItems/>
    </cacheField>
    <cacheField name="Region" numFmtId="0">
      <sharedItems count="7">
        <s v="South West"/>
        <s v="South"/>
        <s v="North"/>
        <s v="West"/>
        <s v="South East"/>
        <s v="East"/>
        <s v="Sout West" u="1"/>
      </sharedItems>
    </cacheField>
    <cacheField name="Product" numFmtId="0">
      <sharedItems count="12">
        <s v="Office Desk"/>
        <s v="Keyboard"/>
        <s v="Mouse"/>
        <s v="Calculator"/>
        <s v="Monitor"/>
        <s v="USB Drive"/>
        <s v="Laptop"/>
        <s v="Notebook"/>
        <s v="Headphones"/>
        <s v="Printer"/>
        <s v="Printer Paper"/>
        <s v="Office Chair"/>
      </sharedItems>
    </cacheField>
    <cacheField name="Category" numFmtId="0">
      <sharedItems count="3">
        <s v="Furniture"/>
        <s v="Electronics"/>
        <s v="Office Supplies"/>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350" maxValue="85000"/>
    </cacheField>
    <cacheField name="Discount%" numFmtId="0">
      <sharedItems containsSemiMixedTypes="0" containsString="0" containsNumber="1" minValue="0.05" maxValue="0.25"/>
    </cacheField>
    <cacheField name="Total Sales" numFmtId="0">
      <sharedItems containsSemiMixedTypes="0" containsString="0" containsNumber="1" minValue="315" maxValue="807500"/>
    </cacheField>
    <cacheField name="Sales person" numFmtId="0">
      <sharedItems count="10">
        <s v="Ali"/>
        <s v="Ayesha"/>
        <s v="Zain"/>
        <s v="Bilal"/>
        <s v="Sara"/>
        <s v="Ahmed"/>
        <s v="Fatima"/>
        <s v="Hamza"/>
        <s v="Usman"/>
        <s v="Hina"/>
      </sharedItems>
    </cacheField>
    <cacheField name="Payment Method" numFmtId="0">
      <sharedItems count="4">
        <s v="Bank Transfer"/>
        <s v="Debit Card"/>
        <s v="Cash"/>
        <s v="Credit Card"/>
      </sharedItems>
    </cacheField>
    <cacheField name="Price Status" numFmtId="0">
      <sharedItems/>
    </cacheField>
    <cacheField name="Months (Order Date)" numFmtId="0" databaseField="0">
      <fieldGroup base="1">
        <rangePr groupBy="months" startDate="2024-01-02T00:00:00" endDate="2026-01-01T00:00:00"/>
        <groupItems count="14">
          <s v="&lt;1/2/2024"/>
          <s v="Jan"/>
          <s v="Feb"/>
          <s v="Mar"/>
          <s v="Apr"/>
          <s v="May"/>
          <s v="Jun"/>
          <s v="Jul"/>
          <s v="Aug"/>
          <s v="Sep"/>
          <s v="Oct"/>
          <s v="Nov"/>
          <s v="Dec"/>
          <s v="&gt;1/1/2026"/>
        </groupItems>
      </fieldGroup>
    </cacheField>
    <cacheField name="Quarters (Order Date)" numFmtId="0" databaseField="0">
      <fieldGroup base="1">
        <rangePr groupBy="quarters" startDate="2024-01-02T00:00:00" endDate="2026-01-01T00:00:00"/>
        <groupItems count="6">
          <s v="&lt;1/2/2024"/>
          <s v="Qtr1"/>
          <s v="Qtr2"/>
          <s v="Qtr3"/>
          <s v="Qtr4"/>
          <s v="&gt;1/1/2026"/>
        </groupItems>
      </fieldGroup>
    </cacheField>
    <cacheField name="Years (Order Date)" numFmtId="0" databaseField="0">
      <fieldGroup base="1">
        <rangePr groupBy="years" startDate="2024-01-02T00:00:00" endDate="2026-01-01T00:00:00"/>
        <groupItems count="5">
          <s v="&lt;1/2/2024"/>
          <s v="2024"/>
          <s v="2025"/>
          <s v="2026"/>
          <s v="&gt;1/1/2026"/>
        </groupItems>
      </fieldGroup>
    </cacheField>
  </cacheFields>
  <extLst>
    <ext xmlns:x14="http://schemas.microsoft.com/office/spreadsheetml/2009/9/main" uri="{725AE2AE-9491-48be-B2B4-4EB974FC3084}">
      <x14:pivotCacheDefinition pivotCacheId="1566919584"/>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1"/>
    <x v="0"/>
    <s v="Usman Khan"/>
    <s v="Quetta"/>
    <x v="0"/>
    <x v="0"/>
    <x v="0"/>
    <n v="5"/>
    <n v="22000"/>
    <n v="0.25"/>
    <n v="82500"/>
    <x v="0"/>
    <x v="0"/>
    <s v="OK"/>
  </r>
  <r>
    <s v="ORD0002"/>
    <x v="1"/>
    <s v="Zain Malik"/>
    <s v="Rawalpindi"/>
    <x v="1"/>
    <x v="1"/>
    <x v="1"/>
    <n v="6"/>
    <n v="12000"/>
    <n v="0.25"/>
    <n v="54000"/>
    <x v="1"/>
    <x v="1"/>
    <s v="Check Price"/>
  </r>
  <r>
    <s v="ORD0003"/>
    <x v="2"/>
    <s v="Saad Raza"/>
    <s v="Sialkot"/>
    <x v="2"/>
    <x v="2"/>
    <x v="0"/>
    <n v="6"/>
    <n v="350"/>
    <n v="0.05"/>
    <n v="1995"/>
    <x v="2"/>
    <x v="2"/>
    <s v="Check Price"/>
  </r>
  <r>
    <s v="ORD0004"/>
    <x v="3"/>
    <s v="Saad Raza"/>
    <s v="Faisalabad"/>
    <x v="0"/>
    <x v="3"/>
    <x v="2"/>
    <n v="4"/>
    <n v="1500"/>
    <n v="0.15"/>
    <n v="5100"/>
    <x v="0"/>
    <x v="1"/>
    <s v="OK"/>
  </r>
  <r>
    <s v="ORD0005"/>
    <x v="4"/>
    <s v="Mariam Noor"/>
    <s v="Hyderabad"/>
    <x v="3"/>
    <x v="3"/>
    <x v="2"/>
    <n v="2"/>
    <n v="1500"/>
    <n v="0.1"/>
    <n v="2700"/>
    <x v="1"/>
    <x v="0"/>
    <s v="OK"/>
  </r>
  <r>
    <s v="ORD0006"/>
    <x v="5"/>
    <s v="Sara Ahmed"/>
    <s v="Karachi"/>
    <x v="3"/>
    <x v="4"/>
    <x v="2"/>
    <n v="6"/>
    <n v="12000"/>
    <n v="0.25"/>
    <n v="54000"/>
    <x v="2"/>
    <x v="0"/>
    <s v="Check Price"/>
  </r>
  <r>
    <s v="ORD0007"/>
    <x v="6"/>
    <s v="Owais Raza"/>
    <s v="Peshawar"/>
    <x v="1"/>
    <x v="5"/>
    <x v="2"/>
    <n v="10"/>
    <n v="22000"/>
    <n v="0.2"/>
    <n v="176000"/>
    <x v="3"/>
    <x v="0"/>
    <s v="Check Price"/>
  </r>
  <r>
    <s v="ORD0008"/>
    <x v="7"/>
    <s v="Danish Malik"/>
    <s v="Rawalpindi"/>
    <x v="1"/>
    <x v="6"/>
    <x v="1"/>
    <n v="5"/>
    <n v="85000"/>
    <n v="0.2"/>
    <n v="340000"/>
    <x v="0"/>
    <x v="2"/>
    <s v="OK"/>
  </r>
  <r>
    <s v="ORD0009"/>
    <x v="8"/>
    <s v="Iqra Khan"/>
    <s v="Faisalabad"/>
    <x v="1"/>
    <x v="3"/>
    <x v="2"/>
    <n v="7"/>
    <n v="1500"/>
    <n v="0.15"/>
    <n v="8925"/>
    <x v="4"/>
    <x v="1"/>
    <s v="OK"/>
  </r>
  <r>
    <s v="ORD0010"/>
    <x v="9"/>
    <s v="Saad Raza"/>
    <s v="Lahore"/>
    <x v="2"/>
    <x v="4"/>
    <x v="2"/>
    <n v="7"/>
    <n v="85000"/>
    <n v="0.25"/>
    <n v="446250"/>
    <x v="1"/>
    <x v="2"/>
    <s v="Check Price"/>
  </r>
  <r>
    <s v="ORD0011"/>
    <x v="10"/>
    <s v="Sana Ali"/>
    <s v="Multan"/>
    <x v="4"/>
    <x v="0"/>
    <x v="0"/>
    <n v="2"/>
    <n v="22000"/>
    <n v="0.2"/>
    <n v="35200"/>
    <x v="5"/>
    <x v="0"/>
    <s v="OK"/>
  </r>
  <r>
    <s v="ORD0012"/>
    <x v="11"/>
    <s v="Saad Raza"/>
    <s v="Rawalpindi"/>
    <x v="4"/>
    <x v="7"/>
    <x v="2"/>
    <n v="1"/>
    <n v="350"/>
    <n v="0.1"/>
    <n v="315"/>
    <x v="6"/>
    <x v="2"/>
    <s v="OK"/>
  </r>
  <r>
    <s v="ORD0013"/>
    <x v="12"/>
    <s v="Sara Ahmed"/>
    <s v="Quetta"/>
    <x v="3"/>
    <x v="5"/>
    <x v="1"/>
    <n v="1"/>
    <n v="1500"/>
    <n v="0.2"/>
    <n v="1200"/>
    <x v="0"/>
    <x v="2"/>
    <s v="Check Price"/>
  </r>
  <r>
    <s v="ORD0014"/>
    <x v="13"/>
    <s v="Hamza Ali"/>
    <s v="Hyderabad"/>
    <x v="4"/>
    <x v="8"/>
    <x v="2"/>
    <n v="5"/>
    <n v="85000"/>
    <n v="0.2"/>
    <n v="340000"/>
    <x v="3"/>
    <x v="1"/>
    <s v="Check Price"/>
  </r>
  <r>
    <s v="ORD0015"/>
    <x v="14"/>
    <s v="Ali Khan"/>
    <s v="Faisalabad"/>
    <x v="4"/>
    <x v="1"/>
    <x v="1"/>
    <n v="6"/>
    <n v="5000"/>
    <n v="0.1"/>
    <n v="27000"/>
    <x v="7"/>
    <x v="3"/>
    <s v="Check Price"/>
  </r>
  <r>
    <s v="ORD0016"/>
    <x v="9"/>
    <s v="Zain Malik"/>
    <s v="Islamabad"/>
    <x v="0"/>
    <x v="0"/>
    <x v="0"/>
    <n v="6"/>
    <n v="22000"/>
    <n v="0.15"/>
    <n v="112200"/>
    <x v="1"/>
    <x v="1"/>
    <s v="OK"/>
  </r>
  <r>
    <s v="ORD0017"/>
    <x v="15"/>
    <s v="Fatima Noor"/>
    <s v="Quetta"/>
    <x v="1"/>
    <x v="1"/>
    <x v="2"/>
    <n v="9"/>
    <n v="28000"/>
    <n v="0.05"/>
    <n v="239400"/>
    <x v="8"/>
    <x v="2"/>
    <s v="Check Price"/>
  </r>
  <r>
    <s v="ORD0018"/>
    <x v="16"/>
    <s v="Hassan Ahmed"/>
    <s v="Islamabad"/>
    <x v="3"/>
    <x v="9"/>
    <x v="1"/>
    <n v="8"/>
    <n v="28000"/>
    <n v="0.25"/>
    <n v="168000"/>
    <x v="1"/>
    <x v="3"/>
    <s v="OK"/>
  </r>
  <r>
    <s v="ORD0019"/>
    <x v="17"/>
    <s v="Iqra Khan"/>
    <s v="Rawalpindi"/>
    <x v="0"/>
    <x v="10"/>
    <x v="2"/>
    <n v="2"/>
    <n v="4000"/>
    <n v="0.2"/>
    <n v="6400"/>
    <x v="6"/>
    <x v="0"/>
    <s v="Check Price"/>
  </r>
  <r>
    <s v="ORD0020"/>
    <x v="18"/>
    <s v="Talha Ahmed"/>
    <s v="Lahore"/>
    <x v="0"/>
    <x v="6"/>
    <x v="1"/>
    <n v="4"/>
    <n v="85000"/>
    <n v="0.2"/>
    <n v="272000"/>
    <x v="6"/>
    <x v="1"/>
    <s v="OK"/>
  </r>
  <r>
    <s v="ORD0021"/>
    <x v="19"/>
    <s v="Danish Malik"/>
    <s v="Islamabad"/>
    <x v="2"/>
    <x v="5"/>
    <x v="2"/>
    <n v="10"/>
    <n v="12000"/>
    <n v="0.05"/>
    <n v="114000"/>
    <x v="2"/>
    <x v="0"/>
    <s v="Check Price"/>
  </r>
  <r>
    <s v="ORD0022"/>
    <x v="20"/>
    <s v="Ahmed Raza"/>
    <s v="Lahore"/>
    <x v="3"/>
    <x v="0"/>
    <x v="0"/>
    <n v="5"/>
    <n v="22000"/>
    <n v="0.2"/>
    <n v="88000"/>
    <x v="4"/>
    <x v="2"/>
    <s v="OK"/>
  </r>
  <r>
    <s v="ORD0023"/>
    <x v="21"/>
    <s v="Sana Ali"/>
    <s v="Peshawar"/>
    <x v="2"/>
    <x v="10"/>
    <x v="2"/>
    <n v="4"/>
    <n v="30000"/>
    <n v="0.1"/>
    <n v="108000"/>
    <x v="3"/>
    <x v="2"/>
    <s v="Check Price"/>
  </r>
  <r>
    <s v="ORD0024"/>
    <x v="22"/>
    <s v="Mariam Noor"/>
    <s v="Karachi"/>
    <x v="4"/>
    <x v="8"/>
    <x v="0"/>
    <n v="7"/>
    <n v="1500"/>
    <n v="0.2"/>
    <n v="8400"/>
    <x v="0"/>
    <x v="2"/>
    <s v="Check Price"/>
  </r>
  <r>
    <s v="ORD0025"/>
    <x v="23"/>
    <s v="Danish Malik"/>
    <s v="Sialkot"/>
    <x v="0"/>
    <x v="0"/>
    <x v="0"/>
    <n v="6"/>
    <n v="22000"/>
    <n v="0.25"/>
    <n v="99000"/>
    <x v="1"/>
    <x v="1"/>
    <s v="OK"/>
  </r>
  <r>
    <s v="ORD0026"/>
    <x v="24"/>
    <s v="Mariam Noor"/>
    <s v="Lahore"/>
    <x v="0"/>
    <x v="9"/>
    <x v="2"/>
    <n v="2"/>
    <n v="30000"/>
    <n v="0.25"/>
    <n v="45000"/>
    <x v="0"/>
    <x v="2"/>
    <s v="Check Price"/>
  </r>
  <r>
    <s v="ORD0027"/>
    <x v="25"/>
    <s v="Saad Raza"/>
    <s v="Quetta"/>
    <x v="0"/>
    <x v="10"/>
    <x v="2"/>
    <n v="6"/>
    <n v="4000"/>
    <n v="0.15"/>
    <n v="20400"/>
    <x v="7"/>
    <x v="0"/>
    <s v="Check Price"/>
  </r>
  <r>
    <s v="ORD0028"/>
    <x v="26"/>
    <s v="Mariam Noor"/>
    <s v="Hyderabad"/>
    <x v="3"/>
    <x v="0"/>
    <x v="0"/>
    <n v="5"/>
    <n v="22000"/>
    <n v="0.1"/>
    <n v="99000"/>
    <x v="6"/>
    <x v="2"/>
    <s v="OK"/>
  </r>
  <r>
    <s v="ORD0029"/>
    <x v="27"/>
    <s v="Danish Malik"/>
    <s v="Hyderabad"/>
    <x v="0"/>
    <x v="4"/>
    <x v="2"/>
    <n v="1"/>
    <n v="5000"/>
    <n v="0.25"/>
    <n v="3750"/>
    <x v="8"/>
    <x v="2"/>
    <s v="Check Price"/>
  </r>
  <r>
    <s v="ORD0030"/>
    <x v="28"/>
    <s v="Saad Raza"/>
    <s v="Sialkot"/>
    <x v="0"/>
    <x v="6"/>
    <x v="1"/>
    <n v="6"/>
    <n v="85000"/>
    <n v="0.1"/>
    <n v="459000"/>
    <x v="8"/>
    <x v="0"/>
    <s v="OK"/>
  </r>
  <r>
    <s v="ORD0031"/>
    <x v="29"/>
    <s v="Ayesha Malik"/>
    <s v="Quetta"/>
    <x v="4"/>
    <x v="2"/>
    <x v="1"/>
    <n v="5"/>
    <n v="12000"/>
    <n v="0.25"/>
    <n v="45000"/>
    <x v="6"/>
    <x v="3"/>
    <s v="Check Price"/>
  </r>
  <r>
    <s v="ORD0032"/>
    <x v="30"/>
    <s v="Ahmed Raza"/>
    <s v="Quetta"/>
    <x v="0"/>
    <x v="2"/>
    <x v="2"/>
    <n v="1"/>
    <n v="2500"/>
    <n v="0.05"/>
    <n v="2375"/>
    <x v="4"/>
    <x v="2"/>
    <s v="OK"/>
  </r>
  <r>
    <s v="ORD0033"/>
    <x v="2"/>
    <s v="Mariam Noor"/>
    <s v="Quetta"/>
    <x v="3"/>
    <x v="9"/>
    <x v="0"/>
    <n v="10"/>
    <n v="22000"/>
    <n v="0.2"/>
    <n v="176000"/>
    <x v="3"/>
    <x v="2"/>
    <s v="Check Price"/>
  </r>
  <r>
    <s v="ORD0034"/>
    <x v="31"/>
    <s v="Danish Malik"/>
    <s v="Faisalabad"/>
    <x v="0"/>
    <x v="7"/>
    <x v="0"/>
    <n v="4"/>
    <n v="2500"/>
    <n v="0.1"/>
    <n v="9000"/>
    <x v="9"/>
    <x v="2"/>
    <s v="Check Price"/>
  </r>
  <r>
    <s v="ORD0035"/>
    <x v="32"/>
    <s v="Bilal Ahmed"/>
    <s v="Sialkot"/>
    <x v="2"/>
    <x v="2"/>
    <x v="1"/>
    <n v="3"/>
    <n v="2500"/>
    <n v="0.1"/>
    <n v="6750"/>
    <x v="4"/>
    <x v="2"/>
    <s v="OK"/>
  </r>
  <r>
    <s v="ORD0036"/>
    <x v="33"/>
    <s v="Sana Ali"/>
    <s v="Quetta"/>
    <x v="5"/>
    <x v="9"/>
    <x v="0"/>
    <n v="7"/>
    <n v="12000"/>
    <n v="0.05"/>
    <n v="79800"/>
    <x v="6"/>
    <x v="3"/>
    <s v="Check Price"/>
  </r>
  <r>
    <s v="ORD0037"/>
    <x v="34"/>
    <s v="Ali Khan"/>
    <s v="Faisalabad"/>
    <x v="0"/>
    <x v="6"/>
    <x v="1"/>
    <n v="8"/>
    <n v="85000"/>
    <n v="0.05"/>
    <n v="646000"/>
    <x v="5"/>
    <x v="3"/>
    <s v="OK"/>
  </r>
  <r>
    <s v="ORD0038"/>
    <x v="35"/>
    <s v="Hina Shah"/>
    <s v="Rawalpindi"/>
    <x v="5"/>
    <x v="7"/>
    <x v="1"/>
    <n v="5"/>
    <n v="2500"/>
    <n v="0.25"/>
    <n v="9375"/>
    <x v="0"/>
    <x v="0"/>
    <s v="Check Price"/>
  </r>
  <r>
    <s v="ORD0039"/>
    <x v="36"/>
    <s v="Danish Malik"/>
    <s v="Peshawar"/>
    <x v="1"/>
    <x v="5"/>
    <x v="1"/>
    <n v="7"/>
    <n v="30000"/>
    <n v="0.25"/>
    <n v="157500"/>
    <x v="8"/>
    <x v="3"/>
    <s v="Check Price"/>
  </r>
  <r>
    <s v="ORD0040"/>
    <x v="37"/>
    <s v="Saad Raza"/>
    <s v="Faisalabad"/>
    <x v="1"/>
    <x v="5"/>
    <x v="2"/>
    <n v="8"/>
    <n v="30000"/>
    <n v="0.2"/>
    <n v="192000"/>
    <x v="0"/>
    <x v="0"/>
    <s v="Check Price"/>
  </r>
  <r>
    <s v="ORD0041"/>
    <x v="38"/>
    <s v="Sara Ahmed"/>
    <s v="Quetta"/>
    <x v="3"/>
    <x v="11"/>
    <x v="0"/>
    <n v="6"/>
    <n v="2500"/>
    <n v="0.1"/>
    <n v="13500"/>
    <x v="8"/>
    <x v="1"/>
    <s v="Check Price"/>
  </r>
  <r>
    <s v="ORD0042"/>
    <x v="39"/>
    <s v="Iqra Khan"/>
    <s v="Rawalpindi"/>
    <x v="2"/>
    <x v="4"/>
    <x v="1"/>
    <n v="9"/>
    <n v="28000"/>
    <n v="0.1"/>
    <n v="226800"/>
    <x v="7"/>
    <x v="1"/>
    <s v="Check Price"/>
  </r>
  <r>
    <s v="ORD0043"/>
    <x v="40"/>
    <s v="Mariam Noor"/>
    <s v="Lahore"/>
    <x v="4"/>
    <x v="10"/>
    <x v="2"/>
    <n v="4"/>
    <n v="1200"/>
    <n v="0.1"/>
    <n v="4320"/>
    <x v="7"/>
    <x v="2"/>
    <s v="OK"/>
  </r>
  <r>
    <s v="ORD0044"/>
    <x v="41"/>
    <s v="Iqra Khan"/>
    <s v="Rawalpindi"/>
    <x v="4"/>
    <x v="9"/>
    <x v="2"/>
    <n v="1"/>
    <n v="1500"/>
    <n v="0.25"/>
    <n v="1125"/>
    <x v="8"/>
    <x v="2"/>
    <s v="Check Price"/>
  </r>
  <r>
    <s v="ORD0045"/>
    <x v="42"/>
    <s v="Talha Ahmed"/>
    <s v="Lahore"/>
    <x v="4"/>
    <x v="6"/>
    <x v="1"/>
    <n v="3"/>
    <n v="85000"/>
    <n v="0.05"/>
    <n v="242250"/>
    <x v="2"/>
    <x v="1"/>
    <s v="OK"/>
  </r>
  <r>
    <s v="ORD0046"/>
    <x v="39"/>
    <s v="Hamza Ali"/>
    <s v="Sialkot"/>
    <x v="0"/>
    <x v="4"/>
    <x v="2"/>
    <n v="9"/>
    <n v="1500"/>
    <n v="0.2"/>
    <n v="10800"/>
    <x v="2"/>
    <x v="1"/>
    <s v="Check Price"/>
  </r>
  <r>
    <s v="ORD0047"/>
    <x v="43"/>
    <s v="Bilal Ahmed"/>
    <s v="Rawalpindi"/>
    <x v="5"/>
    <x v="5"/>
    <x v="1"/>
    <n v="1"/>
    <n v="85000"/>
    <n v="0.1"/>
    <n v="76500"/>
    <x v="0"/>
    <x v="2"/>
    <s v="Check Price"/>
  </r>
  <r>
    <s v="ORD0048"/>
    <x v="44"/>
    <s v="Ayesha Malik"/>
    <s v="Rawalpindi"/>
    <x v="1"/>
    <x v="0"/>
    <x v="0"/>
    <n v="1"/>
    <n v="22000"/>
    <n v="0.05"/>
    <n v="20900"/>
    <x v="9"/>
    <x v="2"/>
    <s v="OK"/>
  </r>
  <r>
    <s v="ORD0049"/>
    <x v="45"/>
    <s v="Zain Malik"/>
    <s v="Peshawar"/>
    <x v="2"/>
    <x v="5"/>
    <x v="0"/>
    <n v="2"/>
    <n v="4000"/>
    <n v="0.25"/>
    <n v="6000"/>
    <x v="8"/>
    <x v="3"/>
    <s v="Check Price"/>
  </r>
  <r>
    <s v="ORD0050"/>
    <x v="46"/>
    <s v="Zain Malik"/>
    <s v="Islamabad"/>
    <x v="3"/>
    <x v="2"/>
    <x v="1"/>
    <n v="4"/>
    <n v="28000"/>
    <n v="0.25"/>
    <n v="84000"/>
    <x v="3"/>
    <x v="2"/>
    <s v="Check Price"/>
  </r>
  <r>
    <s v="ORD0051"/>
    <x v="47"/>
    <s v="Fatima Noor"/>
    <s v="Multan"/>
    <x v="0"/>
    <x v="3"/>
    <x v="2"/>
    <n v="1"/>
    <n v="1500"/>
    <n v="0.2"/>
    <n v="1200"/>
    <x v="2"/>
    <x v="2"/>
    <s v="OK"/>
  </r>
  <r>
    <s v="ORD0052"/>
    <x v="48"/>
    <s v="Fatima Noor"/>
    <s v="Faisalabad"/>
    <x v="3"/>
    <x v="11"/>
    <x v="2"/>
    <n v="5"/>
    <n v="2500"/>
    <n v="0.15"/>
    <n v="10625"/>
    <x v="3"/>
    <x v="0"/>
    <s v="Check Price"/>
  </r>
  <r>
    <s v="ORD0053"/>
    <x v="49"/>
    <s v="Owais Raza"/>
    <s v="Quetta"/>
    <x v="2"/>
    <x v="9"/>
    <x v="0"/>
    <n v="5"/>
    <n v="5000"/>
    <n v="0.05"/>
    <n v="23750"/>
    <x v="8"/>
    <x v="1"/>
    <s v="Check Price"/>
  </r>
  <r>
    <s v="ORD0054"/>
    <x v="50"/>
    <s v="Sana Ali"/>
    <s v="Rawalpindi"/>
    <x v="3"/>
    <x v="4"/>
    <x v="1"/>
    <n v="4"/>
    <n v="85000"/>
    <n v="0.25"/>
    <n v="255000"/>
    <x v="1"/>
    <x v="0"/>
    <s v="Check Price"/>
  </r>
  <r>
    <s v="ORD0055"/>
    <x v="51"/>
    <s v="Ali Khan"/>
    <s v="Islamabad"/>
    <x v="5"/>
    <x v="3"/>
    <x v="2"/>
    <n v="3"/>
    <n v="1500"/>
    <n v="0.2"/>
    <n v="3600"/>
    <x v="9"/>
    <x v="3"/>
    <s v="OK"/>
  </r>
  <r>
    <s v="ORD0056"/>
    <x v="52"/>
    <s v="Sara Ahmed"/>
    <s v="Sialkot"/>
    <x v="4"/>
    <x v="3"/>
    <x v="2"/>
    <n v="2"/>
    <n v="1500"/>
    <n v="0.05"/>
    <n v="2850"/>
    <x v="7"/>
    <x v="3"/>
    <s v="OK"/>
  </r>
  <r>
    <s v="ORD0057"/>
    <x v="22"/>
    <s v="Fatima Noor"/>
    <s v="Lahore"/>
    <x v="4"/>
    <x v="0"/>
    <x v="0"/>
    <n v="10"/>
    <n v="22000"/>
    <n v="0.1"/>
    <n v="198000"/>
    <x v="8"/>
    <x v="3"/>
    <s v="OK"/>
  </r>
  <r>
    <s v="ORD0058"/>
    <x v="40"/>
    <s v="Mariam Noor"/>
    <s v="Peshawar"/>
    <x v="4"/>
    <x v="10"/>
    <x v="2"/>
    <n v="10"/>
    <n v="30000"/>
    <n v="0.25"/>
    <n v="225000"/>
    <x v="9"/>
    <x v="2"/>
    <s v="Check Price"/>
  </r>
  <r>
    <s v="ORD0059"/>
    <x v="53"/>
    <s v="Talha Ahmed"/>
    <s v="Quetta"/>
    <x v="5"/>
    <x v="10"/>
    <x v="1"/>
    <n v="1"/>
    <n v="1200"/>
    <n v="0.15"/>
    <n v="1020"/>
    <x v="2"/>
    <x v="1"/>
    <s v="OK"/>
  </r>
  <r>
    <s v="ORD0060"/>
    <x v="54"/>
    <s v="Maham Khan"/>
    <s v="Hyderabad"/>
    <x v="1"/>
    <x v="3"/>
    <x v="2"/>
    <n v="7"/>
    <n v="1500"/>
    <n v="0.15"/>
    <n v="8925"/>
    <x v="3"/>
    <x v="0"/>
    <s v="OK"/>
  </r>
  <r>
    <s v="ORD0061"/>
    <x v="55"/>
    <s v="Talha Ahmed"/>
    <s v="Karachi"/>
    <x v="0"/>
    <x v="2"/>
    <x v="0"/>
    <n v="7"/>
    <n v="350"/>
    <n v="0.1"/>
    <n v="2205"/>
    <x v="3"/>
    <x v="2"/>
    <s v="Check Price"/>
  </r>
  <r>
    <s v="ORD0062"/>
    <x v="56"/>
    <s v="Ahmed Raza"/>
    <s v="Islamabad"/>
    <x v="0"/>
    <x v="5"/>
    <x v="1"/>
    <n v="1"/>
    <n v="4000"/>
    <n v="0.15"/>
    <n v="3400"/>
    <x v="3"/>
    <x v="3"/>
    <s v="Check Price"/>
  </r>
  <r>
    <s v="ORD0063"/>
    <x v="57"/>
    <s v="Hamza Ali"/>
    <s v="Faisalabad"/>
    <x v="0"/>
    <x v="9"/>
    <x v="2"/>
    <n v="6"/>
    <n v="30000"/>
    <n v="0.15"/>
    <n v="153000"/>
    <x v="9"/>
    <x v="0"/>
    <s v="Check Price"/>
  </r>
  <r>
    <s v="ORD0064"/>
    <x v="58"/>
    <s v="Fatima Noor"/>
    <s v="Lahore"/>
    <x v="4"/>
    <x v="0"/>
    <x v="0"/>
    <n v="3"/>
    <n v="22000"/>
    <n v="0.15"/>
    <n v="56100"/>
    <x v="0"/>
    <x v="2"/>
    <s v="OK"/>
  </r>
  <r>
    <s v="ORD0065"/>
    <x v="59"/>
    <s v="Fatima Noor"/>
    <s v="Islamabad"/>
    <x v="0"/>
    <x v="11"/>
    <x v="1"/>
    <n v="4"/>
    <n v="30000"/>
    <n v="0.1"/>
    <n v="108000"/>
    <x v="6"/>
    <x v="0"/>
    <s v="Check Price"/>
  </r>
  <r>
    <s v="ORD0066"/>
    <x v="60"/>
    <s v="Ali Khan"/>
    <s v="Lahore"/>
    <x v="3"/>
    <x v="9"/>
    <x v="2"/>
    <n v="3"/>
    <n v="1500"/>
    <n v="0.15"/>
    <n v="3825"/>
    <x v="8"/>
    <x v="3"/>
    <s v="Check Price"/>
  </r>
  <r>
    <s v="ORD0067"/>
    <x v="61"/>
    <s v="Ali Khan"/>
    <s v="Hyderabad"/>
    <x v="0"/>
    <x v="2"/>
    <x v="2"/>
    <n v="9"/>
    <n v="12000"/>
    <n v="0.2"/>
    <n v="86400"/>
    <x v="4"/>
    <x v="1"/>
    <s v="Check Price"/>
  </r>
  <r>
    <s v="ORD0068"/>
    <x v="62"/>
    <s v="Mariam Noor"/>
    <s v="Sialkot"/>
    <x v="4"/>
    <x v="5"/>
    <x v="1"/>
    <n v="6"/>
    <n v="85000"/>
    <n v="0.2"/>
    <n v="408000"/>
    <x v="8"/>
    <x v="3"/>
    <s v="Check Price"/>
  </r>
  <r>
    <s v="ORD0069"/>
    <x v="63"/>
    <s v="Hina Shah"/>
    <s v="Quetta"/>
    <x v="0"/>
    <x v="9"/>
    <x v="0"/>
    <n v="1"/>
    <n v="30000"/>
    <n v="0.15"/>
    <n v="25500"/>
    <x v="2"/>
    <x v="0"/>
    <s v="Check Price"/>
  </r>
  <r>
    <s v="ORD0070"/>
    <x v="20"/>
    <s v="Ayesha Malik"/>
    <s v="Lahore"/>
    <x v="3"/>
    <x v="4"/>
    <x v="1"/>
    <n v="1"/>
    <n v="30000"/>
    <n v="0.25"/>
    <n v="22500"/>
    <x v="4"/>
    <x v="3"/>
    <s v="OK"/>
  </r>
  <r>
    <s v="ORD0071"/>
    <x v="64"/>
    <s v="Sara Ahmed"/>
    <s v="Peshawar"/>
    <x v="2"/>
    <x v="10"/>
    <x v="2"/>
    <n v="1"/>
    <n v="4000"/>
    <n v="0.1"/>
    <n v="3600"/>
    <x v="0"/>
    <x v="1"/>
    <s v="Check Price"/>
  </r>
  <r>
    <s v="ORD0072"/>
    <x v="65"/>
    <s v="Sana Ali"/>
    <s v="Lahore"/>
    <x v="3"/>
    <x v="10"/>
    <x v="0"/>
    <n v="9"/>
    <n v="5000"/>
    <n v="0.25"/>
    <n v="33750"/>
    <x v="2"/>
    <x v="3"/>
    <s v="Check Price"/>
  </r>
  <r>
    <s v="ORD0073"/>
    <x v="1"/>
    <s v="Sara Ahmed"/>
    <s v="Hyderabad"/>
    <x v="3"/>
    <x v="4"/>
    <x v="1"/>
    <n v="10"/>
    <n v="350"/>
    <n v="0.25"/>
    <n v="2625"/>
    <x v="0"/>
    <x v="3"/>
    <s v="Check Price"/>
  </r>
  <r>
    <s v="ORD0074"/>
    <x v="66"/>
    <s v="Mariam Noor"/>
    <s v="Quetta"/>
    <x v="5"/>
    <x v="3"/>
    <x v="2"/>
    <n v="3"/>
    <n v="1500"/>
    <n v="0.05"/>
    <n v="4275"/>
    <x v="5"/>
    <x v="1"/>
    <s v="OK"/>
  </r>
  <r>
    <s v="ORD0075"/>
    <x v="67"/>
    <s v="Ayesha Malik"/>
    <s v="Quetta"/>
    <x v="4"/>
    <x v="7"/>
    <x v="0"/>
    <n v="3"/>
    <n v="2000"/>
    <n v="0.1"/>
    <n v="5400"/>
    <x v="5"/>
    <x v="2"/>
    <s v="Check Price"/>
  </r>
  <r>
    <s v="ORD0076"/>
    <x v="68"/>
    <s v="Mariam Noor"/>
    <s v="Hyderabad"/>
    <x v="2"/>
    <x v="5"/>
    <x v="2"/>
    <n v="9"/>
    <n v="22000"/>
    <n v="0.2"/>
    <n v="158400"/>
    <x v="2"/>
    <x v="0"/>
    <s v="Check Price"/>
  </r>
  <r>
    <s v="ORD0077"/>
    <x v="69"/>
    <s v="Usman Khan"/>
    <s v="Sialkot"/>
    <x v="3"/>
    <x v="8"/>
    <x v="0"/>
    <n v="7"/>
    <n v="5000"/>
    <n v="0.2"/>
    <n v="28000"/>
    <x v="3"/>
    <x v="3"/>
    <s v="OK"/>
  </r>
  <r>
    <s v="ORD0078"/>
    <x v="70"/>
    <s v="Bilal Ahmed"/>
    <s v="Karachi"/>
    <x v="5"/>
    <x v="4"/>
    <x v="2"/>
    <n v="9"/>
    <n v="30000"/>
    <n v="0.15"/>
    <n v="229500"/>
    <x v="0"/>
    <x v="0"/>
    <s v="OK"/>
  </r>
  <r>
    <s v="ORD0079"/>
    <x v="50"/>
    <s v="Sara Ahmed"/>
    <s v="Karachi"/>
    <x v="4"/>
    <x v="2"/>
    <x v="1"/>
    <n v="8"/>
    <n v="2500"/>
    <n v="0.15"/>
    <n v="17000"/>
    <x v="2"/>
    <x v="1"/>
    <s v="OK"/>
  </r>
  <r>
    <s v="ORD0080"/>
    <x v="71"/>
    <s v="Owais Raza"/>
    <s v="Islamabad"/>
    <x v="1"/>
    <x v="6"/>
    <x v="1"/>
    <n v="10"/>
    <n v="85000"/>
    <n v="0.2"/>
    <n v="680000"/>
    <x v="9"/>
    <x v="1"/>
    <s v="OK"/>
  </r>
  <r>
    <s v="ORD0081"/>
    <x v="72"/>
    <s v="Hina Shah"/>
    <s v="Hyderabad"/>
    <x v="1"/>
    <x v="10"/>
    <x v="0"/>
    <n v="3"/>
    <n v="22000"/>
    <n v="0.05"/>
    <n v="62700"/>
    <x v="0"/>
    <x v="1"/>
    <s v="Check Price"/>
  </r>
  <r>
    <s v="ORD0082"/>
    <x v="73"/>
    <s v="Ali Khan"/>
    <s v="Rawalpindi"/>
    <x v="4"/>
    <x v="0"/>
    <x v="0"/>
    <n v="4"/>
    <n v="22000"/>
    <n v="0.1"/>
    <n v="79200"/>
    <x v="9"/>
    <x v="1"/>
    <s v="OK"/>
  </r>
  <r>
    <s v="ORD0083"/>
    <x v="74"/>
    <s v="Zain Malik"/>
    <s v="Hyderabad"/>
    <x v="1"/>
    <x v="10"/>
    <x v="2"/>
    <n v="4"/>
    <n v="28000"/>
    <n v="0.15"/>
    <n v="95200"/>
    <x v="2"/>
    <x v="3"/>
    <s v="Check Price"/>
  </r>
  <r>
    <s v="ORD0084"/>
    <x v="75"/>
    <s v="Ahmed Raza"/>
    <s v="Hyderabad"/>
    <x v="0"/>
    <x v="7"/>
    <x v="0"/>
    <n v="8"/>
    <n v="350"/>
    <n v="0.1"/>
    <n v="2520"/>
    <x v="6"/>
    <x v="3"/>
    <s v="OK"/>
  </r>
  <r>
    <s v="ORD0085"/>
    <x v="76"/>
    <s v="Hina Shah"/>
    <s v="Sialkot"/>
    <x v="3"/>
    <x v="7"/>
    <x v="1"/>
    <n v="4"/>
    <n v="30000"/>
    <n v="0.1"/>
    <n v="108000"/>
    <x v="5"/>
    <x v="1"/>
    <s v="Check Price"/>
  </r>
  <r>
    <s v="ORD0086"/>
    <x v="60"/>
    <s v="Saad Raza"/>
    <s v="Quetta"/>
    <x v="2"/>
    <x v="9"/>
    <x v="0"/>
    <n v="6"/>
    <n v="2500"/>
    <n v="0.05"/>
    <n v="14250"/>
    <x v="9"/>
    <x v="1"/>
    <s v="Check Price"/>
  </r>
  <r>
    <s v="ORD0087"/>
    <x v="77"/>
    <s v="Owais Raza"/>
    <s v="Multan"/>
    <x v="0"/>
    <x v="4"/>
    <x v="1"/>
    <n v="4"/>
    <n v="85000"/>
    <n v="0.05"/>
    <n v="323000"/>
    <x v="9"/>
    <x v="1"/>
    <s v="Check Price"/>
  </r>
  <r>
    <s v="ORD0088"/>
    <x v="78"/>
    <s v="Hassan Ahmed"/>
    <s v="Multan"/>
    <x v="5"/>
    <x v="2"/>
    <x v="2"/>
    <n v="9"/>
    <n v="85000"/>
    <n v="0.05"/>
    <n v="726750"/>
    <x v="1"/>
    <x v="2"/>
    <s v="Check Price"/>
  </r>
  <r>
    <s v="ORD0089"/>
    <x v="79"/>
    <s v="Zain Malik"/>
    <s v="Lahore"/>
    <x v="3"/>
    <x v="3"/>
    <x v="2"/>
    <n v="2"/>
    <n v="1500"/>
    <n v="0.05"/>
    <n v="2850"/>
    <x v="8"/>
    <x v="1"/>
    <s v="OK"/>
  </r>
  <r>
    <s v="ORD0090"/>
    <x v="80"/>
    <s v="Ali Khan"/>
    <s v="Sialkot"/>
    <x v="1"/>
    <x v="1"/>
    <x v="0"/>
    <n v="2"/>
    <n v="2000"/>
    <n v="0.25"/>
    <n v="3000"/>
    <x v="0"/>
    <x v="3"/>
    <s v="Check Price"/>
  </r>
  <r>
    <s v="ORD0091"/>
    <x v="81"/>
    <s v="Ayesha Malik"/>
    <s v="Multan"/>
    <x v="0"/>
    <x v="0"/>
    <x v="0"/>
    <n v="3"/>
    <n v="22000"/>
    <n v="0.15"/>
    <n v="56100"/>
    <x v="4"/>
    <x v="2"/>
    <s v="OK"/>
  </r>
  <r>
    <s v="ORD0092"/>
    <x v="82"/>
    <s v="Hina Shah"/>
    <s v="Sialkot"/>
    <x v="2"/>
    <x v="2"/>
    <x v="1"/>
    <n v="2"/>
    <n v="2500"/>
    <n v="0.2"/>
    <n v="4000"/>
    <x v="9"/>
    <x v="1"/>
    <s v="OK"/>
  </r>
  <r>
    <s v="ORD0093"/>
    <x v="83"/>
    <s v="Owais Raza"/>
    <s v="Faisalabad"/>
    <x v="3"/>
    <x v="2"/>
    <x v="1"/>
    <n v="5"/>
    <n v="4000"/>
    <n v="0.2"/>
    <n v="16000"/>
    <x v="0"/>
    <x v="2"/>
    <s v="Check Price"/>
  </r>
  <r>
    <s v="ORD0094"/>
    <x v="84"/>
    <s v="Laiba Khan"/>
    <s v="Sialkot"/>
    <x v="3"/>
    <x v="1"/>
    <x v="1"/>
    <n v="7"/>
    <n v="2500"/>
    <n v="0.1"/>
    <n v="15750"/>
    <x v="5"/>
    <x v="2"/>
    <s v="Check Price"/>
  </r>
  <r>
    <s v="ORD0095"/>
    <x v="85"/>
    <s v="Laiba Khan"/>
    <s v="Islamabad"/>
    <x v="3"/>
    <x v="1"/>
    <x v="0"/>
    <n v="3"/>
    <n v="85000"/>
    <n v="0.2"/>
    <n v="204000"/>
    <x v="7"/>
    <x v="0"/>
    <s v="Check Price"/>
  </r>
  <r>
    <s v="ORD0096"/>
    <x v="86"/>
    <s v="Saad Raza"/>
    <s v="Faisalabad"/>
    <x v="4"/>
    <x v="5"/>
    <x v="2"/>
    <n v="6"/>
    <n v="1500"/>
    <n v="0.05"/>
    <n v="8550"/>
    <x v="9"/>
    <x v="3"/>
    <s v="Check Price"/>
  </r>
  <r>
    <s v="ORD0097"/>
    <x v="87"/>
    <s v="Talha Ahmed"/>
    <s v="Peshawar"/>
    <x v="4"/>
    <x v="1"/>
    <x v="0"/>
    <n v="7"/>
    <n v="30000"/>
    <n v="0.1"/>
    <n v="189000"/>
    <x v="6"/>
    <x v="3"/>
    <s v="Check Price"/>
  </r>
  <r>
    <s v="ORD0098"/>
    <x v="88"/>
    <s v="Hamza Ali"/>
    <s v="Sialkot"/>
    <x v="4"/>
    <x v="7"/>
    <x v="2"/>
    <n v="9"/>
    <n v="1200"/>
    <n v="0.25"/>
    <n v="8100"/>
    <x v="4"/>
    <x v="1"/>
    <s v="Check Price"/>
  </r>
  <r>
    <s v="ORD0099"/>
    <x v="89"/>
    <s v="Fatima Noor"/>
    <s v="Karachi"/>
    <x v="2"/>
    <x v="2"/>
    <x v="0"/>
    <n v="8"/>
    <n v="4000"/>
    <n v="0.15"/>
    <n v="27200"/>
    <x v="2"/>
    <x v="1"/>
    <s v="Check Price"/>
  </r>
  <r>
    <s v="ORD0100"/>
    <x v="90"/>
    <s v="Fatima Noor"/>
    <s v="Karachi"/>
    <x v="5"/>
    <x v="9"/>
    <x v="2"/>
    <n v="10"/>
    <n v="28000"/>
    <n v="0.2"/>
    <n v="224000"/>
    <x v="4"/>
    <x v="1"/>
    <s v="OK"/>
  </r>
  <r>
    <s v="ORD0101"/>
    <x v="91"/>
    <s v="Zain Malik"/>
    <s v="Quetta"/>
    <x v="3"/>
    <x v="0"/>
    <x v="0"/>
    <n v="7"/>
    <n v="22000"/>
    <n v="0.1"/>
    <n v="138600"/>
    <x v="1"/>
    <x v="3"/>
    <s v="OK"/>
  </r>
  <r>
    <s v="ORD0102"/>
    <x v="92"/>
    <s v="Mariam Noor"/>
    <s v="Karachi"/>
    <x v="4"/>
    <x v="4"/>
    <x v="2"/>
    <n v="10"/>
    <n v="1500"/>
    <n v="0.05"/>
    <n v="14250"/>
    <x v="6"/>
    <x v="3"/>
    <s v="Check Price"/>
  </r>
  <r>
    <s v="ORD0103"/>
    <x v="93"/>
    <s v="Talha Ahmed"/>
    <s v="Sialkot"/>
    <x v="3"/>
    <x v="1"/>
    <x v="1"/>
    <n v="8"/>
    <n v="350"/>
    <n v="0.2"/>
    <n v="2240"/>
    <x v="3"/>
    <x v="2"/>
    <s v="Check Price"/>
  </r>
  <r>
    <s v="ORD0104"/>
    <x v="94"/>
    <s v="Hamza Ali"/>
    <s v="Karachi"/>
    <x v="3"/>
    <x v="11"/>
    <x v="2"/>
    <n v="4"/>
    <n v="4000"/>
    <n v="0.1"/>
    <n v="14400"/>
    <x v="9"/>
    <x v="0"/>
    <s v="Check Price"/>
  </r>
  <r>
    <s v="ORD0105"/>
    <x v="95"/>
    <s v="Hamza Ali"/>
    <s v="Sialkot"/>
    <x v="1"/>
    <x v="1"/>
    <x v="1"/>
    <n v="6"/>
    <n v="350"/>
    <n v="0.05"/>
    <n v="1995"/>
    <x v="7"/>
    <x v="2"/>
    <s v="Check Price"/>
  </r>
  <r>
    <s v="ORD0106"/>
    <x v="96"/>
    <s v="Laiba Khan"/>
    <s v="Rawalpindi"/>
    <x v="3"/>
    <x v="9"/>
    <x v="0"/>
    <n v="9"/>
    <n v="22000"/>
    <n v="0.05"/>
    <n v="188100"/>
    <x v="8"/>
    <x v="3"/>
    <s v="Check Price"/>
  </r>
  <r>
    <s v="ORD0107"/>
    <x v="97"/>
    <s v="Owais Raza"/>
    <s v="Quetta"/>
    <x v="2"/>
    <x v="0"/>
    <x v="0"/>
    <n v="4"/>
    <n v="22000"/>
    <n v="0.05"/>
    <n v="83600"/>
    <x v="2"/>
    <x v="1"/>
    <s v="OK"/>
  </r>
  <r>
    <s v="ORD0108"/>
    <x v="98"/>
    <s v="Sana Ali"/>
    <s v="Karachi"/>
    <x v="2"/>
    <x v="11"/>
    <x v="0"/>
    <n v="5"/>
    <n v="350"/>
    <n v="0.05"/>
    <n v="1662.5"/>
    <x v="1"/>
    <x v="2"/>
    <s v="Check Price"/>
  </r>
  <r>
    <s v="ORD0109"/>
    <x v="99"/>
    <s v="Sana Ali"/>
    <s v="Sialkot"/>
    <x v="3"/>
    <x v="11"/>
    <x v="2"/>
    <n v="10"/>
    <n v="12000"/>
    <n v="0.2"/>
    <n v="96000"/>
    <x v="7"/>
    <x v="2"/>
    <s v="OK"/>
  </r>
  <r>
    <s v="ORD0110"/>
    <x v="20"/>
    <s v="Sana Ali"/>
    <s v="Islamabad"/>
    <x v="5"/>
    <x v="4"/>
    <x v="1"/>
    <n v="5"/>
    <n v="2000"/>
    <n v="0.1"/>
    <n v="9000"/>
    <x v="6"/>
    <x v="0"/>
    <s v="Check Price"/>
  </r>
  <r>
    <s v="ORD0111"/>
    <x v="100"/>
    <s v="Hassan Ahmed"/>
    <s v="Lahore"/>
    <x v="1"/>
    <x v="2"/>
    <x v="2"/>
    <n v="2"/>
    <n v="28000"/>
    <n v="0.25"/>
    <n v="42000"/>
    <x v="2"/>
    <x v="1"/>
    <s v="Check Price"/>
  </r>
  <r>
    <s v="ORD0112"/>
    <x v="101"/>
    <s v="Bilal Ahmed"/>
    <s v="Lahore"/>
    <x v="4"/>
    <x v="7"/>
    <x v="0"/>
    <n v="7"/>
    <n v="5000"/>
    <n v="0.1"/>
    <n v="31500"/>
    <x v="6"/>
    <x v="2"/>
    <s v="Check Price"/>
  </r>
  <r>
    <s v="ORD0113"/>
    <x v="102"/>
    <s v="Hassan Ahmed"/>
    <s v="Multan"/>
    <x v="5"/>
    <x v="8"/>
    <x v="0"/>
    <n v="3"/>
    <n v="12000"/>
    <n v="0.1"/>
    <n v="32400"/>
    <x v="1"/>
    <x v="0"/>
    <s v="Check Price"/>
  </r>
  <r>
    <s v="ORD0114"/>
    <x v="43"/>
    <s v="Ahmed Raza"/>
    <s v="Lahore"/>
    <x v="4"/>
    <x v="10"/>
    <x v="0"/>
    <n v="4"/>
    <n v="2500"/>
    <n v="0.2"/>
    <n v="8000"/>
    <x v="4"/>
    <x v="2"/>
    <s v="Check Price"/>
  </r>
  <r>
    <s v="ORD0115"/>
    <x v="7"/>
    <s v="Laiba Khan"/>
    <s v="Lahore"/>
    <x v="4"/>
    <x v="2"/>
    <x v="2"/>
    <n v="8"/>
    <n v="2000"/>
    <n v="0.25"/>
    <n v="12000"/>
    <x v="3"/>
    <x v="2"/>
    <s v="Check Price"/>
  </r>
  <r>
    <s v="ORD0116"/>
    <x v="103"/>
    <s v="Iqra Khan"/>
    <s v="Quetta"/>
    <x v="5"/>
    <x v="2"/>
    <x v="1"/>
    <n v="7"/>
    <n v="22000"/>
    <n v="0.15"/>
    <n v="130900"/>
    <x v="5"/>
    <x v="2"/>
    <s v="Check Price"/>
  </r>
  <r>
    <s v="ORD0117"/>
    <x v="104"/>
    <s v="Laiba Khan"/>
    <s v="Quetta"/>
    <x v="4"/>
    <x v="2"/>
    <x v="0"/>
    <n v="9"/>
    <n v="350"/>
    <n v="0.15"/>
    <n v="2677.5"/>
    <x v="8"/>
    <x v="3"/>
    <s v="Check Price"/>
  </r>
  <r>
    <s v="ORD0118"/>
    <x v="105"/>
    <s v="Sara Ahmed"/>
    <s v="Lahore"/>
    <x v="1"/>
    <x v="6"/>
    <x v="1"/>
    <n v="3"/>
    <n v="85000"/>
    <n v="0.05"/>
    <n v="242250"/>
    <x v="4"/>
    <x v="2"/>
    <s v="OK"/>
  </r>
  <r>
    <s v="ORD0119"/>
    <x v="106"/>
    <s v="Laiba Khan"/>
    <s v="Rawalpindi"/>
    <x v="4"/>
    <x v="0"/>
    <x v="0"/>
    <n v="8"/>
    <n v="22000"/>
    <n v="0.05"/>
    <n v="167200"/>
    <x v="1"/>
    <x v="2"/>
    <s v="OK"/>
  </r>
  <r>
    <s v="ORD0120"/>
    <x v="107"/>
    <s v="Fatima Noor"/>
    <s v="Multan"/>
    <x v="5"/>
    <x v="11"/>
    <x v="0"/>
    <n v="6"/>
    <n v="12000"/>
    <n v="0.1"/>
    <n v="64800"/>
    <x v="6"/>
    <x v="0"/>
    <s v="OK"/>
  </r>
  <r>
    <s v="ORD0121"/>
    <x v="108"/>
    <s v="Talha Ahmed"/>
    <s v="Sialkot"/>
    <x v="2"/>
    <x v="6"/>
    <x v="1"/>
    <n v="5"/>
    <n v="85000"/>
    <n v="0.2"/>
    <n v="340000"/>
    <x v="4"/>
    <x v="1"/>
    <s v="OK"/>
  </r>
  <r>
    <s v="ORD0122"/>
    <x v="10"/>
    <s v="Ahmed Raza"/>
    <s v="Faisalabad"/>
    <x v="5"/>
    <x v="7"/>
    <x v="0"/>
    <n v="2"/>
    <n v="350"/>
    <n v="0.05"/>
    <n v="665"/>
    <x v="0"/>
    <x v="0"/>
    <s v="OK"/>
  </r>
  <r>
    <s v="ORD0123"/>
    <x v="109"/>
    <s v="Saad Raza"/>
    <s v="Karachi"/>
    <x v="3"/>
    <x v="5"/>
    <x v="2"/>
    <n v="3"/>
    <n v="28000"/>
    <n v="0.2"/>
    <n v="67200"/>
    <x v="4"/>
    <x v="0"/>
    <s v="Check Price"/>
  </r>
  <r>
    <s v="ORD0124"/>
    <x v="110"/>
    <s v="Mariam Noor"/>
    <s v="Hyderabad"/>
    <x v="0"/>
    <x v="0"/>
    <x v="0"/>
    <n v="7"/>
    <n v="22000"/>
    <n v="0.25"/>
    <n v="115500"/>
    <x v="4"/>
    <x v="0"/>
    <s v="OK"/>
  </r>
  <r>
    <s v="ORD0125"/>
    <x v="111"/>
    <s v="Saad Raza"/>
    <s v="Rawalpindi"/>
    <x v="4"/>
    <x v="6"/>
    <x v="1"/>
    <n v="4"/>
    <n v="85000"/>
    <n v="0.25"/>
    <n v="255000"/>
    <x v="9"/>
    <x v="2"/>
    <s v="OK"/>
  </r>
  <r>
    <s v="ORD0126"/>
    <x v="112"/>
    <s v="Bilal Ahmed"/>
    <s v="Quetta"/>
    <x v="2"/>
    <x v="2"/>
    <x v="1"/>
    <n v="3"/>
    <n v="5000"/>
    <n v="0.2"/>
    <n v="12000"/>
    <x v="0"/>
    <x v="2"/>
    <s v="Check Price"/>
  </r>
  <r>
    <s v="ORD0127"/>
    <x v="113"/>
    <s v="Bilal Ahmed"/>
    <s v="Sialkot"/>
    <x v="5"/>
    <x v="11"/>
    <x v="1"/>
    <n v="4"/>
    <n v="12000"/>
    <n v="0.2"/>
    <n v="38400"/>
    <x v="6"/>
    <x v="2"/>
    <s v="OK"/>
  </r>
  <r>
    <s v="ORD0128"/>
    <x v="114"/>
    <s v="Bilal Ahmed"/>
    <s v="Sialkot"/>
    <x v="2"/>
    <x v="8"/>
    <x v="2"/>
    <n v="5"/>
    <n v="350"/>
    <n v="0.25"/>
    <n v="1312.5"/>
    <x v="5"/>
    <x v="0"/>
    <s v="Check Price"/>
  </r>
  <r>
    <s v="ORD0129"/>
    <x v="115"/>
    <s v="Owais Raza"/>
    <s v="Sialkot"/>
    <x v="4"/>
    <x v="10"/>
    <x v="2"/>
    <n v="9"/>
    <n v="1200"/>
    <n v="0.05"/>
    <n v="10260"/>
    <x v="3"/>
    <x v="3"/>
    <s v="OK"/>
  </r>
  <r>
    <s v="ORD0130"/>
    <x v="116"/>
    <s v="Laiba Khan"/>
    <s v="Quetta"/>
    <x v="2"/>
    <x v="9"/>
    <x v="0"/>
    <n v="8"/>
    <n v="1200"/>
    <n v="0.1"/>
    <n v="8640"/>
    <x v="3"/>
    <x v="1"/>
    <s v="Check Price"/>
  </r>
  <r>
    <s v="ORD0131"/>
    <x v="117"/>
    <s v="Saad Raza"/>
    <s v="Peshawar"/>
    <x v="0"/>
    <x v="11"/>
    <x v="2"/>
    <n v="10"/>
    <n v="2500"/>
    <n v="0.25"/>
    <n v="18750"/>
    <x v="0"/>
    <x v="0"/>
    <s v="Check Price"/>
  </r>
  <r>
    <s v="ORD0132"/>
    <x v="118"/>
    <s v="Iqra Khan"/>
    <s v="Lahore"/>
    <x v="2"/>
    <x v="8"/>
    <x v="2"/>
    <n v="3"/>
    <n v="350"/>
    <n v="0.05"/>
    <n v="997.5"/>
    <x v="5"/>
    <x v="2"/>
    <s v="Check Price"/>
  </r>
  <r>
    <s v="ORD0133"/>
    <x v="119"/>
    <s v="Mariam Noor"/>
    <s v="Peshawar"/>
    <x v="5"/>
    <x v="4"/>
    <x v="1"/>
    <n v="6"/>
    <n v="4000"/>
    <n v="0.1"/>
    <n v="21600"/>
    <x v="7"/>
    <x v="3"/>
    <s v="Check Price"/>
  </r>
  <r>
    <s v="ORD0134"/>
    <x v="120"/>
    <s v="Owais Raza"/>
    <s v="Lahore"/>
    <x v="4"/>
    <x v="10"/>
    <x v="2"/>
    <n v="6"/>
    <n v="5000"/>
    <n v="0.05"/>
    <n v="28500"/>
    <x v="9"/>
    <x v="2"/>
    <s v="Check Price"/>
  </r>
  <r>
    <s v="ORD0135"/>
    <x v="121"/>
    <s v="Iqra Khan"/>
    <s v="Faisalabad"/>
    <x v="5"/>
    <x v="11"/>
    <x v="1"/>
    <n v="7"/>
    <n v="2500"/>
    <n v="0.1"/>
    <n v="15750"/>
    <x v="9"/>
    <x v="2"/>
    <s v="Check Price"/>
  </r>
  <r>
    <s v="ORD0136"/>
    <x v="122"/>
    <s v="Ahmed Raza"/>
    <s v="Hyderabad"/>
    <x v="3"/>
    <x v="7"/>
    <x v="2"/>
    <n v="3"/>
    <n v="85000"/>
    <n v="0.2"/>
    <n v="204000"/>
    <x v="8"/>
    <x v="1"/>
    <s v="Check Price"/>
  </r>
  <r>
    <s v="ORD0137"/>
    <x v="123"/>
    <s v="Saad Raza"/>
    <s v="Faisalabad"/>
    <x v="5"/>
    <x v="7"/>
    <x v="1"/>
    <n v="8"/>
    <n v="28000"/>
    <n v="0.2"/>
    <n v="179200"/>
    <x v="6"/>
    <x v="0"/>
    <s v="Check Price"/>
  </r>
  <r>
    <s v="ORD0138"/>
    <x v="124"/>
    <s v="Laiba Khan"/>
    <s v="Multan"/>
    <x v="0"/>
    <x v="1"/>
    <x v="1"/>
    <n v="5"/>
    <n v="12000"/>
    <n v="0.1"/>
    <n v="54000"/>
    <x v="8"/>
    <x v="3"/>
    <s v="Check Price"/>
  </r>
  <r>
    <s v="ORD0139"/>
    <x v="125"/>
    <s v="Sana Ali"/>
    <s v="Rawalpindi"/>
    <x v="4"/>
    <x v="7"/>
    <x v="0"/>
    <n v="8"/>
    <n v="2500"/>
    <n v="0.05"/>
    <n v="19000"/>
    <x v="8"/>
    <x v="0"/>
    <s v="Check Price"/>
  </r>
  <r>
    <s v="ORD0140"/>
    <x v="126"/>
    <s v="Bilal Ahmed"/>
    <s v="Hyderabad"/>
    <x v="5"/>
    <x v="7"/>
    <x v="0"/>
    <n v="1"/>
    <n v="28000"/>
    <n v="0.05"/>
    <n v="26600"/>
    <x v="2"/>
    <x v="3"/>
    <s v="Check Price"/>
  </r>
  <r>
    <s v="ORD0141"/>
    <x v="127"/>
    <s v="Owais Raza"/>
    <s v="Lahore"/>
    <x v="3"/>
    <x v="3"/>
    <x v="2"/>
    <n v="10"/>
    <n v="1500"/>
    <n v="0.2"/>
    <n v="12000"/>
    <x v="6"/>
    <x v="1"/>
    <s v="OK"/>
  </r>
  <r>
    <s v="ORD0142"/>
    <x v="128"/>
    <s v="Ahmed Raza"/>
    <s v="Hyderabad"/>
    <x v="2"/>
    <x v="5"/>
    <x v="0"/>
    <n v="7"/>
    <n v="30000"/>
    <n v="0.05"/>
    <n v="199500"/>
    <x v="0"/>
    <x v="3"/>
    <s v="Check Price"/>
  </r>
  <r>
    <s v="ORD0143"/>
    <x v="129"/>
    <s v="Hamza Ali"/>
    <s v="Sialkot"/>
    <x v="0"/>
    <x v="2"/>
    <x v="1"/>
    <n v="4"/>
    <n v="5000"/>
    <n v="0.05"/>
    <n v="19000"/>
    <x v="3"/>
    <x v="3"/>
    <s v="Check Price"/>
  </r>
  <r>
    <s v="ORD0144"/>
    <x v="130"/>
    <s v="Ayesha Malik"/>
    <s v="Multan"/>
    <x v="4"/>
    <x v="9"/>
    <x v="1"/>
    <n v="7"/>
    <n v="4000"/>
    <n v="0.1"/>
    <n v="25200"/>
    <x v="4"/>
    <x v="3"/>
    <s v="Check Price"/>
  </r>
  <r>
    <s v="ORD0145"/>
    <x v="131"/>
    <s v="Owais Raza"/>
    <s v="Islamabad"/>
    <x v="4"/>
    <x v="5"/>
    <x v="2"/>
    <n v="6"/>
    <n v="1500"/>
    <n v="0.1"/>
    <n v="8100"/>
    <x v="9"/>
    <x v="1"/>
    <s v="Check Price"/>
  </r>
  <r>
    <s v="ORD0146"/>
    <x v="132"/>
    <s v="Ayesha Malik"/>
    <s v="Hyderabad"/>
    <x v="1"/>
    <x v="7"/>
    <x v="2"/>
    <n v="10"/>
    <n v="12000"/>
    <n v="0.2"/>
    <n v="96000"/>
    <x v="3"/>
    <x v="0"/>
    <s v="Check Price"/>
  </r>
  <r>
    <s v="ORD0147"/>
    <x v="133"/>
    <s v="Zain Malik"/>
    <s v="Hyderabad"/>
    <x v="2"/>
    <x v="11"/>
    <x v="2"/>
    <n v="10"/>
    <n v="28000"/>
    <n v="0.15"/>
    <n v="238000"/>
    <x v="5"/>
    <x v="2"/>
    <s v="Check Price"/>
  </r>
  <r>
    <s v="ORD0148"/>
    <x v="134"/>
    <s v="Laiba Khan"/>
    <s v="Faisalabad"/>
    <x v="3"/>
    <x v="0"/>
    <x v="0"/>
    <n v="1"/>
    <n v="22000"/>
    <n v="0.05"/>
    <n v="20900"/>
    <x v="8"/>
    <x v="2"/>
    <s v="OK"/>
  </r>
  <r>
    <s v="ORD0149"/>
    <x v="135"/>
    <s v="Talha Ahmed"/>
    <s v="Peshawar"/>
    <x v="4"/>
    <x v="11"/>
    <x v="2"/>
    <n v="2"/>
    <n v="28000"/>
    <n v="0.2"/>
    <n v="44800"/>
    <x v="4"/>
    <x v="0"/>
    <s v="Check Price"/>
  </r>
  <r>
    <s v="ORD0150"/>
    <x v="136"/>
    <s v="Fatima Noor"/>
    <s v="Peshawar"/>
    <x v="5"/>
    <x v="10"/>
    <x v="1"/>
    <n v="5"/>
    <n v="1500"/>
    <n v="0.05"/>
    <n v="7125"/>
    <x v="0"/>
    <x v="2"/>
    <s v="Check Price"/>
  </r>
  <r>
    <s v="ORD0151"/>
    <x v="103"/>
    <s v="Bilal Ahmed"/>
    <s v="Sialkot"/>
    <x v="1"/>
    <x v="10"/>
    <x v="2"/>
    <n v="1"/>
    <n v="4000"/>
    <n v="0.15"/>
    <n v="3400"/>
    <x v="0"/>
    <x v="0"/>
    <s v="Check Price"/>
  </r>
  <r>
    <s v="ORD0152"/>
    <x v="137"/>
    <s v="Ahmed Raza"/>
    <s v="Peshawar"/>
    <x v="5"/>
    <x v="6"/>
    <x v="1"/>
    <n v="8"/>
    <n v="85000"/>
    <n v="0.1"/>
    <n v="612000"/>
    <x v="2"/>
    <x v="1"/>
    <s v="OK"/>
  </r>
  <r>
    <s v="ORD0153"/>
    <x v="138"/>
    <s v="Sana Ali"/>
    <s v="Faisalabad"/>
    <x v="2"/>
    <x v="9"/>
    <x v="2"/>
    <n v="1"/>
    <n v="22000"/>
    <n v="0.15"/>
    <n v="18700"/>
    <x v="9"/>
    <x v="3"/>
    <s v="Check Price"/>
  </r>
  <r>
    <s v="ORD0154"/>
    <x v="139"/>
    <s v="Zain Malik"/>
    <s v="Faisalabad"/>
    <x v="3"/>
    <x v="0"/>
    <x v="0"/>
    <n v="3"/>
    <n v="22000"/>
    <n v="0.1"/>
    <n v="59400"/>
    <x v="9"/>
    <x v="3"/>
    <s v="OK"/>
  </r>
  <r>
    <s v="ORD0155"/>
    <x v="140"/>
    <s v="Fatima Noor"/>
    <s v="Multan"/>
    <x v="2"/>
    <x v="9"/>
    <x v="1"/>
    <n v="7"/>
    <n v="1200"/>
    <n v="0.05"/>
    <n v="7980"/>
    <x v="5"/>
    <x v="2"/>
    <s v="Check Price"/>
  </r>
  <r>
    <s v="ORD0156"/>
    <x v="124"/>
    <s v="Usman Khan"/>
    <s v="Karachi"/>
    <x v="5"/>
    <x v="6"/>
    <x v="1"/>
    <n v="2"/>
    <n v="85000"/>
    <n v="0.05"/>
    <n v="161500"/>
    <x v="9"/>
    <x v="1"/>
    <s v="OK"/>
  </r>
  <r>
    <s v="ORD0157"/>
    <x v="141"/>
    <s v="Usman Khan"/>
    <s v="Islamabad"/>
    <x v="3"/>
    <x v="0"/>
    <x v="0"/>
    <n v="2"/>
    <n v="22000"/>
    <n v="0.25"/>
    <n v="33000"/>
    <x v="6"/>
    <x v="3"/>
    <s v="OK"/>
  </r>
  <r>
    <s v="ORD0158"/>
    <x v="60"/>
    <s v="Laiba Khan"/>
    <s v="Hyderabad"/>
    <x v="4"/>
    <x v="3"/>
    <x v="2"/>
    <n v="8"/>
    <n v="1500"/>
    <n v="0.2"/>
    <n v="9600"/>
    <x v="2"/>
    <x v="1"/>
    <s v="OK"/>
  </r>
  <r>
    <s v="ORD0159"/>
    <x v="142"/>
    <s v="Bilal Ahmed"/>
    <s v="Sialkot"/>
    <x v="2"/>
    <x v="11"/>
    <x v="0"/>
    <n v="6"/>
    <n v="12000"/>
    <n v="0.1"/>
    <n v="64800"/>
    <x v="2"/>
    <x v="2"/>
    <s v="OK"/>
  </r>
  <r>
    <s v="ORD0160"/>
    <x v="143"/>
    <s v="Owais Raza"/>
    <s v="Peshawar"/>
    <x v="3"/>
    <x v="0"/>
    <x v="0"/>
    <n v="8"/>
    <n v="22000"/>
    <n v="0.1"/>
    <n v="158400"/>
    <x v="1"/>
    <x v="0"/>
    <s v="OK"/>
  </r>
  <r>
    <s v="ORD0161"/>
    <x v="13"/>
    <s v="Bilal Ahmed"/>
    <s v="Sialkot"/>
    <x v="1"/>
    <x v="7"/>
    <x v="1"/>
    <n v="6"/>
    <n v="22000"/>
    <n v="0.05"/>
    <n v="125400"/>
    <x v="7"/>
    <x v="3"/>
    <s v="Check Price"/>
  </r>
  <r>
    <s v="ORD0162"/>
    <x v="144"/>
    <s v="Hina Shah"/>
    <s v="Hyderabad"/>
    <x v="4"/>
    <x v="5"/>
    <x v="1"/>
    <n v="3"/>
    <n v="30000"/>
    <n v="0.1"/>
    <n v="81000"/>
    <x v="0"/>
    <x v="3"/>
    <s v="Check Price"/>
  </r>
  <r>
    <s v="ORD0163"/>
    <x v="145"/>
    <s v="Maham Khan"/>
    <s v="Islamabad"/>
    <x v="3"/>
    <x v="11"/>
    <x v="1"/>
    <n v="5"/>
    <n v="85000"/>
    <n v="0.1"/>
    <n v="382500"/>
    <x v="7"/>
    <x v="1"/>
    <s v="Check Price"/>
  </r>
  <r>
    <s v="ORD0164"/>
    <x v="146"/>
    <s v="Saad Raza"/>
    <s v="Rawalpindi"/>
    <x v="1"/>
    <x v="9"/>
    <x v="2"/>
    <n v="6"/>
    <n v="1500"/>
    <n v="0.05"/>
    <n v="8550"/>
    <x v="9"/>
    <x v="2"/>
    <s v="Check Price"/>
  </r>
  <r>
    <s v="ORD0165"/>
    <x v="147"/>
    <s v="Laiba Khan"/>
    <s v="Islamabad"/>
    <x v="0"/>
    <x v="10"/>
    <x v="1"/>
    <n v="8"/>
    <n v="350"/>
    <n v="0.2"/>
    <n v="2240"/>
    <x v="1"/>
    <x v="2"/>
    <s v="Check Price"/>
  </r>
  <r>
    <s v="ORD0166"/>
    <x v="148"/>
    <s v="Usman Khan"/>
    <s v="Multan"/>
    <x v="3"/>
    <x v="0"/>
    <x v="0"/>
    <n v="1"/>
    <n v="22000"/>
    <n v="0.15"/>
    <n v="18700"/>
    <x v="9"/>
    <x v="1"/>
    <s v="OK"/>
  </r>
  <r>
    <s v="ORD0167"/>
    <x v="108"/>
    <s v="Sana Ali"/>
    <s v="Faisalabad"/>
    <x v="3"/>
    <x v="9"/>
    <x v="0"/>
    <n v="3"/>
    <n v="2500"/>
    <n v="0.15"/>
    <n v="6375"/>
    <x v="6"/>
    <x v="2"/>
    <s v="Check Price"/>
  </r>
  <r>
    <s v="ORD0168"/>
    <x v="68"/>
    <s v="Hina Shah"/>
    <s v="Rawalpindi"/>
    <x v="2"/>
    <x v="5"/>
    <x v="0"/>
    <n v="3"/>
    <n v="2000"/>
    <n v="0.25"/>
    <n v="4500"/>
    <x v="0"/>
    <x v="1"/>
    <s v="OK"/>
  </r>
  <r>
    <s v="ORD0169"/>
    <x v="149"/>
    <s v="Maham Khan"/>
    <s v="Multan"/>
    <x v="5"/>
    <x v="5"/>
    <x v="1"/>
    <n v="2"/>
    <n v="28000"/>
    <n v="0.05"/>
    <n v="53200"/>
    <x v="2"/>
    <x v="3"/>
    <s v="Check Price"/>
  </r>
  <r>
    <s v="ORD0170"/>
    <x v="20"/>
    <s v="Mariam Noor"/>
    <s v="Islamabad"/>
    <x v="5"/>
    <x v="2"/>
    <x v="1"/>
    <n v="7"/>
    <n v="1500"/>
    <n v="0.15"/>
    <n v="8925"/>
    <x v="2"/>
    <x v="0"/>
    <s v="Check Price"/>
  </r>
  <r>
    <s v="ORD0171"/>
    <x v="17"/>
    <s v="Ali Khan"/>
    <s v="Hyderabad"/>
    <x v="3"/>
    <x v="5"/>
    <x v="0"/>
    <n v="9"/>
    <n v="22000"/>
    <n v="0.15"/>
    <n v="168300"/>
    <x v="9"/>
    <x v="1"/>
    <s v="Check Price"/>
  </r>
  <r>
    <s v="ORD0172"/>
    <x v="86"/>
    <s v="Maham Khan"/>
    <s v="Sialkot"/>
    <x v="5"/>
    <x v="11"/>
    <x v="1"/>
    <n v="4"/>
    <n v="30000"/>
    <n v="0.05"/>
    <n v="114000"/>
    <x v="3"/>
    <x v="1"/>
    <s v="Check Price"/>
  </r>
  <r>
    <s v="ORD0173"/>
    <x v="150"/>
    <s v="Usman Khan"/>
    <s v="Peshawar"/>
    <x v="0"/>
    <x v="0"/>
    <x v="0"/>
    <n v="6"/>
    <n v="22000"/>
    <n v="0.15"/>
    <n v="112200"/>
    <x v="3"/>
    <x v="3"/>
    <s v="OK"/>
  </r>
  <r>
    <s v="ORD0174"/>
    <x v="151"/>
    <s v="Danish Malik"/>
    <s v="Karachi"/>
    <x v="3"/>
    <x v="11"/>
    <x v="2"/>
    <n v="5"/>
    <n v="4000"/>
    <n v="0.1"/>
    <n v="18000"/>
    <x v="0"/>
    <x v="3"/>
    <s v="Check Price"/>
  </r>
  <r>
    <s v="ORD0175"/>
    <x v="152"/>
    <s v="Iqra Khan"/>
    <s v="Hyderabad"/>
    <x v="2"/>
    <x v="5"/>
    <x v="2"/>
    <n v="2"/>
    <n v="2000"/>
    <n v="0.05"/>
    <n v="3800"/>
    <x v="0"/>
    <x v="0"/>
    <s v="OK"/>
  </r>
  <r>
    <s v="ORD0176"/>
    <x v="153"/>
    <s v="Iqra Khan"/>
    <s v="Peshawar"/>
    <x v="4"/>
    <x v="10"/>
    <x v="2"/>
    <n v="10"/>
    <n v="1500"/>
    <n v="0.15"/>
    <n v="12750"/>
    <x v="1"/>
    <x v="2"/>
    <s v="Check Price"/>
  </r>
  <r>
    <s v="ORD0177"/>
    <x v="154"/>
    <s v="Ahmed Raza"/>
    <s v="Islamabad"/>
    <x v="4"/>
    <x v="1"/>
    <x v="2"/>
    <n v="3"/>
    <n v="1200"/>
    <n v="0.05"/>
    <n v="3420"/>
    <x v="3"/>
    <x v="1"/>
    <s v="Check Price"/>
  </r>
  <r>
    <s v="ORD0178"/>
    <x v="155"/>
    <s v="Maham Khan"/>
    <s v="Faisalabad"/>
    <x v="5"/>
    <x v="6"/>
    <x v="1"/>
    <n v="4"/>
    <n v="85000"/>
    <n v="0.05"/>
    <n v="323000"/>
    <x v="8"/>
    <x v="2"/>
    <s v="OK"/>
  </r>
  <r>
    <s v="ORD0179"/>
    <x v="156"/>
    <s v="Mariam Noor"/>
    <s v="Peshawar"/>
    <x v="3"/>
    <x v="4"/>
    <x v="0"/>
    <n v="8"/>
    <n v="30000"/>
    <n v="0.15"/>
    <n v="204000"/>
    <x v="1"/>
    <x v="0"/>
    <s v="OK"/>
  </r>
  <r>
    <s v="ORD0180"/>
    <x v="157"/>
    <s v="Sana Ali"/>
    <s v="Faisalabad"/>
    <x v="0"/>
    <x v="1"/>
    <x v="0"/>
    <n v="3"/>
    <n v="22000"/>
    <n v="0.2"/>
    <n v="52800"/>
    <x v="0"/>
    <x v="1"/>
    <s v="Check Price"/>
  </r>
  <r>
    <s v="ORD0181"/>
    <x v="158"/>
    <s v="Talha Ahmed"/>
    <s v="Hyderabad"/>
    <x v="4"/>
    <x v="0"/>
    <x v="0"/>
    <n v="9"/>
    <n v="22000"/>
    <n v="0.05"/>
    <n v="188100"/>
    <x v="8"/>
    <x v="3"/>
    <s v="OK"/>
  </r>
  <r>
    <s v="ORD0182"/>
    <x v="20"/>
    <s v="Bilal Ahmed"/>
    <s v="Lahore"/>
    <x v="0"/>
    <x v="6"/>
    <x v="1"/>
    <n v="9"/>
    <n v="85000"/>
    <n v="0.25"/>
    <n v="573750"/>
    <x v="0"/>
    <x v="3"/>
    <s v="OK"/>
  </r>
  <r>
    <s v="ORD0183"/>
    <x v="159"/>
    <s v="Ali Khan"/>
    <s v="Lahore"/>
    <x v="0"/>
    <x v="4"/>
    <x v="0"/>
    <n v="9"/>
    <n v="2000"/>
    <n v="0.2"/>
    <n v="14400"/>
    <x v="7"/>
    <x v="1"/>
    <s v="Check Price"/>
  </r>
  <r>
    <s v="ORD0184"/>
    <x v="160"/>
    <s v="Sana Ali"/>
    <s v="Sialkot"/>
    <x v="2"/>
    <x v="7"/>
    <x v="2"/>
    <n v="9"/>
    <n v="350"/>
    <n v="0.2"/>
    <n v="2520"/>
    <x v="6"/>
    <x v="2"/>
    <s v="OK"/>
  </r>
  <r>
    <s v="ORD0185"/>
    <x v="100"/>
    <s v="Hamza Ali"/>
    <s v="Lahore"/>
    <x v="0"/>
    <x v="5"/>
    <x v="0"/>
    <n v="8"/>
    <n v="2500"/>
    <n v="0.1"/>
    <n v="18000"/>
    <x v="3"/>
    <x v="1"/>
    <s v="Check Price"/>
  </r>
  <r>
    <s v="ORD0186"/>
    <x v="161"/>
    <s v="Ahmed Raza"/>
    <s v="Quetta"/>
    <x v="3"/>
    <x v="4"/>
    <x v="0"/>
    <n v="3"/>
    <n v="4000"/>
    <n v="0.05"/>
    <n v="11400"/>
    <x v="1"/>
    <x v="0"/>
    <s v="Check Price"/>
  </r>
  <r>
    <s v="ORD0187"/>
    <x v="162"/>
    <s v="Hamza Ali"/>
    <s v="Hyderabad"/>
    <x v="5"/>
    <x v="4"/>
    <x v="1"/>
    <n v="9"/>
    <n v="4000"/>
    <n v="0.25"/>
    <n v="27000"/>
    <x v="1"/>
    <x v="1"/>
    <s v="Check Price"/>
  </r>
  <r>
    <s v="ORD0188"/>
    <x v="163"/>
    <s v="Fatima Noor"/>
    <s v="Quetta"/>
    <x v="3"/>
    <x v="9"/>
    <x v="0"/>
    <n v="3"/>
    <n v="1500"/>
    <n v="0.2"/>
    <n v="3600"/>
    <x v="8"/>
    <x v="3"/>
    <s v="Check Price"/>
  </r>
  <r>
    <s v="ORD0189"/>
    <x v="6"/>
    <s v="Ali Khan"/>
    <s v="Peshawar"/>
    <x v="4"/>
    <x v="5"/>
    <x v="0"/>
    <n v="6"/>
    <n v="4000"/>
    <n v="0.05"/>
    <n v="22800"/>
    <x v="8"/>
    <x v="3"/>
    <s v="Check Price"/>
  </r>
  <r>
    <s v="ORD0190"/>
    <x v="164"/>
    <s v="Sara Ahmed"/>
    <s v="Karachi"/>
    <x v="1"/>
    <x v="7"/>
    <x v="2"/>
    <n v="1"/>
    <n v="85000"/>
    <n v="0.15"/>
    <n v="72250"/>
    <x v="6"/>
    <x v="1"/>
    <s v="Check Price"/>
  </r>
  <r>
    <s v="ORD0191"/>
    <x v="165"/>
    <s v="Laiba Khan"/>
    <s v="Faisalabad"/>
    <x v="5"/>
    <x v="10"/>
    <x v="2"/>
    <n v="7"/>
    <n v="85000"/>
    <n v="0.2"/>
    <n v="476000"/>
    <x v="0"/>
    <x v="3"/>
    <s v="Check Price"/>
  </r>
  <r>
    <s v="ORD0192"/>
    <x v="166"/>
    <s v="Hamza Ali"/>
    <s v="Karachi"/>
    <x v="1"/>
    <x v="0"/>
    <x v="0"/>
    <n v="6"/>
    <n v="22000"/>
    <n v="0.05"/>
    <n v="125400"/>
    <x v="6"/>
    <x v="2"/>
    <s v="OK"/>
  </r>
  <r>
    <s v="ORD0193"/>
    <x v="114"/>
    <s v="Owais Raza"/>
    <s v="Quetta"/>
    <x v="5"/>
    <x v="3"/>
    <x v="2"/>
    <n v="9"/>
    <n v="1500"/>
    <n v="0.1"/>
    <n v="12150"/>
    <x v="6"/>
    <x v="0"/>
    <s v="OK"/>
  </r>
  <r>
    <s v="ORD0194"/>
    <x v="167"/>
    <s v="Zain Malik"/>
    <s v="Sialkot"/>
    <x v="3"/>
    <x v="9"/>
    <x v="1"/>
    <n v="2"/>
    <n v="2500"/>
    <n v="0.05"/>
    <n v="4750"/>
    <x v="8"/>
    <x v="0"/>
    <s v="Check Price"/>
  </r>
  <r>
    <s v="ORD0195"/>
    <x v="26"/>
    <s v="Hassan Ahmed"/>
    <s v="Hyderabad"/>
    <x v="4"/>
    <x v="8"/>
    <x v="0"/>
    <n v="7"/>
    <n v="1200"/>
    <n v="0.05"/>
    <n v="7980"/>
    <x v="2"/>
    <x v="2"/>
    <s v="Check Price"/>
  </r>
  <r>
    <s v="ORD0196"/>
    <x v="157"/>
    <s v="Hamza Ali"/>
    <s v="Karachi"/>
    <x v="4"/>
    <x v="1"/>
    <x v="1"/>
    <n v="3"/>
    <n v="1200"/>
    <n v="0.05"/>
    <n v="3420"/>
    <x v="0"/>
    <x v="0"/>
    <s v="Check Price"/>
  </r>
  <r>
    <s v="ORD0197"/>
    <x v="168"/>
    <s v="Usman Khan"/>
    <s v="Multan"/>
    <x v="4"/>
    <x v="11"/>
    <x v="1"/>
    <n v="9"/>
    <n v="4000"/>
    <n v="0.25"/>
    <n v="27000"/>
    <x v="3"/>
    <x v="0"/>
    <s v="Check Price"/>
  </r>
  <r>
    <s v="ORD0198"/>
    <x v="169"/>
    <s v="Fatima Noor"/>
    <s v="Faisalabad"/>
    <x v="1"/>
    <x v="3"/>
    <x v="2"/>
    <n v="9"/>
    <n v="1500"/>
    <n v="0.2"/>
    <n v="10800"/>
    <x v="0"/>
    <x v="1"/>
    <s v="OK"/>
  </r>
  <r>
    <s v="ORD0199"/>
    <x v="170"/>
    <s v="Sana Ali"/>
    <s v="Faisalabad"/>
    <x v="0"/>
    <x v="6"/>
    <x v="1"/>
    <n v="9"/>
    <n v="85000"/>
    <n v="0.2"/>
    <n v="612000"/>
    <x v="9"/>
    <x v="3"/>
    <s v="OK"/>
  </r>
  <r>
    <s v="ORD0200"/>
    <x v="171"/>
    <s v="Hamza Ali"/>
    <s v="Sialkot"/>
    <x v="4"/>
    <x v="3"/>
    <x v="2"/>
    <n v="9"/>
    <n v="1500"/>
    <n v="0.2"/>
    <n v="10800"/>
    <x v="3"/>
    <x v="3"/>
    <s v="OK"/>
  </r>
  <r>
    <s v="ORD0201"/>
    <x v="172"/>
    <s v="Iqra Khan"/>
    <s v="Lahore"/>
    <x v="5"/>
    <x v="6"/>
    <x v="1"/>
    <n v="7"/>
    <n v="85000"/>
    <n v="0.2"/>
    <n v="476000"/>
    <x v="2"/>
    <x v="3"/>
    <s v="OK"/>
  </r>
  <r>
    <s v="ORD0202"/>
    <x v="126"/>
    <s v="Mariam Noor"/>
    <s v="Faisalabad"/>
    <x v="3"/>
    <x v="2"/>
    <x v="0"/>
    <n v="2"/>
    <n v="4000"/>
    <n v="0.1"/>
    <n v="7200"/>
    <x v="6"/>
    <x v="3"/>
    <s v="Check Price"/>
  </r>
  <r>
    <s v="ORD0203"/>
    <x v="173"/>
    <s v="Ali Khan"/>
    <s v="Rawalpindi"/>
    <x v="4"/>
    <x v="7"/>
    <x v="2"/>
    <n v="8"/>
    <n v="28000"/>
    <n v="0.05"/>
    <n v="212800"/>
    <x v="4"/>
    <x v="3"/>
    <s v="Check Price"/>
  </r>
  <r>
    <s v="ORD0204"/>
    <x v="174"/>
    <s v="Talha Ahmed"/>
    <s v="Sialkot"/>
    <x v="3"/>
    <x v="11"/>
    <x v="1"/>
    <n v="7"/>
    <n v="12000"/>
    <n v="0.25"/>
    <n v="63000"/>
    <x v="7"/>
    <x v="0"/>
    <s v="OK"/>
  </r>
  <r>
    <s v="ORD0205"/>
    <x v="175"/>
    <s v="Saad Raza"/>
    <s v="Hyderabad"/>
    <x v="3"/>
    <x v="6"/>
    <x v="1"/>
    <n v="9"/>
    <n v="85000"/>
    <n v="0.1"/>
    <n v="688500"/>
    <x v="7"/>
    <x v="1"/>
    <s v="OK"/>
  </r>
  <r>
    <s v="ORD0206"/>
    <x v="176"/>
    <s v="Hamza Ali"/>
    <s v="Faisalabad"/>
    <x v="1"/>
    <x v="10"/>
    <x v="0"/>
    <n v="8"/>
    <n v="12000"/>
    <n v="0.1"/>
    <n v="86400"/>
    <x v="0"/>
    <x v="3"/>
    <s v="Check Price"/>
  </r>
  <r>
    <s v="ORD0207"/>
    <x v="177"/>
    <s v="Sana Ali"/>
    <s v="Quetta"/>
    <x v="1"/>
    <x v="3"/>
    <x v="2"/>
    <n v="2"/>
    <n v="1500"/>
    <n v="0.15"/>
    <n v="2550"/>
    <x v="2"/>
    <x v="3"/>
    <s v="OK"/>
  </r>
  <r>
    <s v="ORD0208"/>
    <x v="96"/>
    <s v="Saad Raza"/>
    <s v="Sialkot"/>
    <x v="3"/>
    <x v="11"/>
    <x v="1"/>
    <n v="7"/>
    <n v="22000"/>
    <n v="0.15"/>
    <n v="130900"/>
    <x v="9"/>
    <x v="0"/>
    <s v="Check Price"/>
  </r>
  <r>
    <s v="ORD0209"/>
    <x v="37"/>
    <s v="Owais Raza"/>
    <s v="Peshawar"/>
    <x v="1"/>
    <x v="8"/>
    <x v="1"/>
    <n v="9"/>
    <n v="22000"/>
    <n v="0.15"/>
    <n v="168300"/>
    <x v="0"/>
    <x v="2"/>
    <s v="Check Price"/>
  </r>
  <r>
    <s v="ORD0210"/>
    <x v="178"/>
    <s v="Fatima Noor"/>
    <s v="Peshawar"/>
    <x v="0"/>
    <x v="6"/>
    <x v="1"/>
    <n v="8"/>
    <n v="85000"/>
    <n v="0.1"/>
    <n v="612000"/>
    <x v="3"/>
    <x v="1"/>
    <s v="OK"/>
  </r>
  <r>
    <s v="ORD0211"/>
    <x v="100"/>
    <s v="Ali Khan"/>
    <s v="Multan"/>
    <x v="2"/>
    <x v="1"/>
    <x v="0"/>
    <n v="4"/>
    <n v="1500"/>
    <n v="0.15"/>
    <n v="5100"/>
    <x v="6"/>
    <x v="2"/>
    <s v="Check Price"/>
  </r>
  <r>
    <s v="ORD0212"/>
    <x v="179"/>
    <s v="Saad Raza"/>
    <s v="Lahore"/>
    <x v="1"/>
    <x v="1"/>
    <x v="2"/>
    <n v="5"/>
    <n v="2500"/>
    <n v="0.15"/>
    <n v="10625"/>
    <x v="2"/>
    <x v="3"/>
    <s v="Check Price"/>
  </r>
  <r>
    <s v="ORD0213"/>
    <x v="180"/>
    <s v="Maham Khan"/>
    <s v="Hyderabad"/>
    <x v="3"/>
    <x v="3"/>
    <x v="2"/>
    <n v="1"/>
    <n v="1500"/>
    <n v="0.05"/>
    <n v="1425"/>
    <x v="0"/>
    <x v="0"/>
    <s v="OK"/>
  </r>
  <r>
    <s v="ORD0214"/>
    <x v="82"/>
    <s v="Usman Khan"/>
    <s v="Multan"/>
    <x v="1"/>
    <x v="1"/>
    <x v="1"/>
    <n v="8"/>
    <n v="1200"/>
    <n v="0.15"/>
    <n v="8160"/>
    <x v="6"/>
    <x v="3"/>
    <s v="Check Price"/>
  </r>
  <r>
    <s v="ORD0215"/>
    <x v="181"/>
    <s v="Sara Ahmed"/>
    <s v="Multan"/>
    <x v="4"/>
    <x v="7"/>
    <x v="0"/>
    <n v="3"/>
    <n v="22000"/>
    <n v="0.25"/>
    <n v="49500"/>
    <x v="6"/>
    <x v="0"/>
    <s v="Check Price"/>
  </r>
  <r>
    <s v="ORD0216"/>
    <x v="182"/>
    <s v="Hassan Ahmed"/>
    <s v="Multan"/>
    <x v="1"/>
    <x v="8"/>
    <x v="1"/>
    <n v="3"/>
    <n v="1200"/>
    <n v="0.2"/>
    <n v="2880"/>
    <x v="6"/>
    <x v="0"/>
    <s v="Check Price"/>
  </r>
  <r>
    <s v="ORD0217"/>
    <x v="183"/>
    <s v="Iqra Khan"/>
    <s v="Sialkot"/>
    <x v="3"/>
    <x v="4"/>
    <x v="0"/>
    <n v="2"/>
    <n v="12000"/>
    <n v="0.1"/>
    <n v="21600"/>
    <x v="6"/>
    <x v="2"/>
    <s v="Check Price"/>
  </r>
  <r>
    <s v="ORD0218"/>
    <x v="184"/>
    <s v="Hina Shah"/>
    <s v="Lahore"/>
    <x v="3"/>
    <x v="7"/>
    <x v="1"/>
    <n v="6"/>
    <n v="1200"/>
    <n v="0.05"/>
    <n v="6840"/>
    <x v="7"/>
    <x v="0"/>
    <s v="Check Price"/>
  </r>
  <r>
    <s v="ORD0219"/>
    <x v="185"/>
    <s v="Ayesha Malik"/>
    <s v="Rawalpindi"/>
    <x v="2"/>
    <x v="7"/>
    <x v="2"/>
    <n v="8"/>
    <n v="22000"/>
    <n v="0.2"/>
    <n v="140800"/>
    <x v="7"/>
    <x v="1"/>
    <s v="Check Price"/>
  </r>
  <r>
    <s v="ORD0220"/>
    <x v="174"/>
    <s v="Laiba Khan"/>
    <s v="Rawalpindi"/>
    <x v="2"/>
    <x v="9"/>
    <x v="1"/>
    <n v="7"/>
    <n v="5000"/>
    <n v="0.15"/>
    <n v="29750"/>
    <x v="8"/>
    <x v="2"/>
    <s v="Check Price"/>
  </r>
  <r>
    <s v="ORD0221"/>
    <x v="186"/>
    <s v="Hassan Ahmed"/>
    <s v="Peshawar"/>
    <x v="2"/>
    <x v="6"/>
    <x v="1"/>
    <n v="7"/>
    <n v="85000"/>
    <n v="0.15"/>
    <n v="505750"/>
    <x v="4"/>
    <x v="1"/>
    <s v="OK"/>
  </r>
  <r>
    <s v="ORD0222"/>
    <x v="187"/>
    <s v="Fatima Noor"/>
    <s v="Multan"/>
    <x v="4"/>
    <x v="11"/>
    <x v="1"/>
    <n v="7"/>
    <n v="1500"/>
    <n v="0.15"/>
    <n v="8925"/>
    <x v="6"/>
    <x v="3"/>
    <s v="Check Price"/>
  </r>
  <r>
    <s v="ORD0223"/>
    <x v="78"/>
    <s v="Mariam Noor"/>
    <s v="Quetta"/>
    <x v="1"/>
    <x v="11"/>
    <x v="2"/>
    <n v="5"/>
    <n v="30000"/>
    <n v="0.25"/>
    <n v="112500"/>
    <x v="0"/>
    <x v="3"/>
    <s v="Check Price"/>
  </r>
  <r>
    <s v="ORD0224"/>
    <x v="188"/>
    <s v="Owais Raza"/>
    <s v="Multan"/>
    <x v="4"/>
    <x v="0"/>
    <x v="0"/>
    <n v="5"/>
    <n v="22000"/>
    <n v="0.15"/>
    <n v="93500"/>
    <x v="9"/>
    <x v="2"/>
    <s v="OK"/>
  </r>
  <r>
    <s v="ORD0225"/>
    <x v="189"/>
    <s v="Ali Khan"/>
    <s v="Karachi"/>
    <x v="0"/>
    <x v="8"/>
    <x v="1"/>
    <n v="9"/>
    <n v="30000"/>
    <n v="0.1"/>
    <n v="243000"/>
    <x v="5"/>
    <x v="1"/>
    <s v="Check Price"/>
  </r>
  <r>
    <s v="ORD0226"/>
    <x v="190"/>
    <s v="Ali Khan"/>
    <s v="Quetta"/>
    <x v="1"/>
    <x v="1"/>
    <x v="1"/>
    <n v="8"/>
    <n v="4000"/>
    <n v="0.2"/>
    <n v="25600"/>
    <x v="9"/>
    <x v="2"/>
    <s v="OK"/>
  </r>
  <r>
    <s v="ORD0227"/>
    <x v="191"/>
    <s v="Mariam Noor"/>
    <s v="Lahore"/>
    <x v="0"/>
    <x v="7"/>
    <x v="0"/>
    <n v="2"/>
    <n v="22000"/>
    <n v="0.05"/>
    <n v="41800"/>
    <x v="5"/>
    <x v="0"/>
    <s v="Check Price"/>
  </r>
  <r>
    <s v="ORD0228"/>
    <x v="110"/>
    <s v="Talha Ahmed"/>
    <s v="Multan"/>
    <x v="3"/>
    <x v="7"/>
    <x v="2"/>
    <n v="3"/>
    <n v="5000"/>
    <n v="0.2"/>
    <n v="12000"/>
    <x v="7"/>
    <x v="3"/>
    <s v="Check Price"/>
  </r>
  <r>
    <s v="ORD0229"/>
    <x v="120"/>
    <s v="Sana Ali"/>
    <s v="Hyderabad"/>
    <x v="0"/>
    <x v="1"/>
    <x v="2"/>
    <n v="3"/>
    <n v="28000"/>
    <n v="0.05"/>
    <n v="79800"/>
    <x v="6"/>
    <x v="1"/>
    <s v="Check Price"/>
  </r>
  <r>
    <s v="ORD0230"/>
    <x v="192"/>
    <s v="Ali Khan"/>
    <s v="Karachi"/>
    <x v="4"/>
    <x v="2"/>
    <x v="1"/>
    <n v="1"/>
    <n v="22000"/>
    <n v="0.1"/>
    <n v="19800"/>
    <x v="1"/>
    <x v="2"/>
    <s v="Check Price"/>
  </r>
  <r>
    <s v="ORD0231"/>
    <x v="193"/>
    <s v="Zain Malik"/>
    <s v="Karachi"/>
    <x v="5"/>
    <x v="7"/>
    <x v="2"/>
    <n v="4"/>
    <n v="2500"/>
    <n v="0.15"/>
    <n v="8500"/>
    <x v="0"/>
    <x v="3"/>
    <s v="Check Price"/>
  </r>
  <r>
    <s v="ORD0232"/>
    <x v="14"/>
    <s v="Hina Shah"/>
    <s v="Multan"/>
    <x v="0"/>
    <x v="10"/>
    <x v="1"/>
    <n v="10"/>
    <n v="28000"/>
    <n v="0.05"/>
    <n v="266000"/>
    <x v="8"/>
    <x v="2"/>
    <s v="Check Price"/>
  </r>
  <r>
    <s v="ORD0233"/>
    <x v="194"/>
    <s v="Fatima Noor"/>
    <s v="Peshawar"/>
    <x v="3"/>
    <x v="2"/>
    <x v="2"/>
    <n v="2"/>
    <n v="1200"/>
    <n v="0.05"/>
    <n v="2280"/>
    <x v="7"/>
    <x v="0"/>
    <s v="Check Price"/>
  </r>
  <r>
    <s v="ORD0234"/>
    <x v="195"/>
    <s v="Zain Malik"/>
    <s v="Multan"/>
    <x v="5"/>
    <x v="11"/>
    <x v="2"/>
    <n v="4"/>
    <n v="350"/>
    <n v="0.2"/>
    <n v="1120"/>
    <x v="4"/>
    <x v="3"/>
    <s v="Check Price"/>
  </r>
  <r>
    <s v="ORD0235"/>
    <x v="196"/>
    <s v="Hamza Ali"/>
    <s v="Sialkot"/>
    <x v="3"/>
    <x v="9"/>
    <x v="0"/>
    <n v="1"/>
    <n v="350"/>
    <n v="0.05"/>
    <n v="332.5"/>
    <x v="5"/>
    <x v="2"/>
    <s v="Check Price"/>
  </r>
  <r>
    <s v="ORD0236"/>
    <x v="76"/>
    <s v="Sana Ali"/>
    <s v="Sialkot"/>
    <x v="3"/>
    <x v="6"/>
    <x v="1"/>
    <n v="10"/>
    <n v="85000"/>
    <n v="0.2"/>
    <n v="680000"/>
    <x v="1"/>
    <x v="2"/>
    <s v="OK"/>
  </r>
  <r>
    <s v="ORD0237"/>
    <x v="197"/>
    <s v="Owais Raza"/>
    <s v="Quetta"/>
    <x v="1"/>
    <x v="1"/>
    <x v="1"/>
    <n v="5"/>
    <n v="2500"/>
    <n v="0.25"/>
    <n v="9375"/>
    <x v="1"/>
    <x v="2"/>
    <s v="Check Price"/>
  </r>
  <r>
    <s v="ORD0238"/>
    <x v="198"/>
    <s v="Bilal Ahmed"/>
    <s v="Quetta"/>
    <x v="0"/>
    <x v="3"/>
    <x v="2"/>
    <n v="2"/>
    <n v="1500"/>
    <n v="0.15"/>
    <n v="2550"/>
    <x v="8"/>
    <x v="0"/>
    <s v="OK"/>
  </r>
  <r>
    <s v="ORD0239"/>
    <x v="106"/>
    <s v="Hamza Ali"/>
    <s v="Quetta"/>
    <x v="4"/>
    <x v="9"/>
    <x v="2"/>
    <n v="2"/>
    <n v="28000"/>
    <n v="0.1"/>
    <n v="50400"/>
    <x v="3"/>
    <x v="0"/>
    <s v="OK"/>
  </r>
  <r>
    <s v="ORD0240"/>
    <x v="199"/>
    <s v="Sara Ahmed"/>
    <s v="Lahore"/>
    <x v="1"/>
    <x v="8"/>
    <x v="1"/>
    <n v="1"/>
    <n v="85000"/>
    <n v="0.1"/>
    <n v="76500"/>
    <x v="1"/>
    <x v="3"/>
    <s v="Check Price"/>
  </r>
  <r>
    <s v="ORD0241"/>
    <x v="200"/>
    <s v="Ayesha Malik"/>
    <s v="Lahore"/>
    <x v="2"/>
    <x v="1"/>
    <x v="1"/>
    <n v="5"/>
    <n v="2000"/>
    <n v="0.05"/>
    <n v="9500"/>
    <x v="9"/>
    <x v="0"/>
    <s v="Check Price"/>
  </r>
  <r>
    <s v="ORD0242"/>
    <x v="201"/>
    <s v="Usman Khan"/>
    <s v="Karachi"/>
    <x v="2"/>
    <x v="9"/>
    <x v="0"/>
    <n v="6"/>
    <n v="1500"/>
    <n v="0.2"/>
    <n v="7200"/>
    <x v="2"/>
    <x v="2"/>
    <s v="Check Price"/>
  </r>
  <r>
    <s v="ORD0243"/>
    <x v="202"/>
    <s v="Hassan Ahmed"/>
    <s v="Islamabad"/>
    <x v="2"/>
    <x v="4"/>
    <x v="2"/>
    <n v="10"/>
    <n v="12000"/>
    <n v="0.2"/>
    <n v="96000"/>
    <x v="0"/>
    <x v="3"/>
    <s v="Check Price"/>
  </r>
  <r>
    <s v="ORD0244"/>
    <x v="203"/>
    <s v="Hamza Ali"/>
    <s v="Hyderabad"/>
    <x v="5"/>
    <x v="8"/>
    <x v="0"/>
    <n v="9"/>
    <n v="4000"/>
    <n v="0.1"/>
    <n v="32400"/>
    <x v="9"/>
    <x v="3"/>
    <s v="Check Price"/>
  </r>
  <r>
    <s v="ORD0245"/>
    <x v="57"/>
    <s v="Hassan Ahmed"/>
    <s v="Quetta"/>
    <x v="2"/>
    <x v="9"/>
    <x v="0"/>
    <n v="3"/>
    <n v="4000"/>
    <n v="0.05"/>
    <n v="11400"/>
    <x v="8"/>
    <x v="1"/>
    <s v="Check Price"/>
  </r>
  <r>
    <s v="ORD0246"/>
    <x v="28"/>
    <s v="Hina Shah"/>
    <s v="Hyderabad"/>
    <x v="1"/>
    <x v="6"/>
    <x v="1"/>
    <n v="8"/>
    <n v="85000"/>
    <n v="0.2"/>
    <n v="544000"/>
    <x v="7"/>
    <x v="3"/>
    <s v="OK"/>
  </r>
  <r>
    <s v="ORD0247"/>
    <x v="204"/>
    <s v="Ali Khan"/>
    <s v="Hyderabad"/>
    <x v="4"/>
    <x v="7"/>
    <x v="2"/>
    <n v="4"/>
    <n v="5000"/>
    <n v="0.25"/>
    <n v="15000"/>
    <x v="3"/>
    <x v="1"/>
    <s v="Check Price"/>
  </r>
  <r>
    <s v="ORD0248"/>
    <x v="205"/>
    <s v="Ahmed Raza"/>
    <s v="Lahore"/>
    <x v="5"/>
    <x v="7"/>
    <x v="1"/>
    <n v="10"/>
    <n v="2500"/>
    <n v="0.15"/>
    <n v="21250"/>
    <x v="8"/>
    <x v="1"/>
    <s v="Check Price"/>
  </r>
  <r>
    <s v="ORD0249"/>
    <x v="206"/>
    <s v="Danish Malik"/>
    <s v="Peshawar"/>
    <x v="4"/>
    <x v="2"/>
    <x v="2"/>
    <n v="3"/>
    <n v="1200"/>
    <n v="0.1"/>
    <n v="3240"/>
    <x v="5"/>
    <x v="3"/>
    <s v="Check Price"/>
  </r>
  <r>
    <s v="ORD0250"/>
    <x v="207"/>
    <s v="Sara Ahmed"/>
    <s v="Islamabad"/>
    <x v="0"/>
    <x v="2"/>
    <x v="1"/>
    <n v="5"/>
    <n v="12000"/>
    <n v="0.15"/>
    <n v="51000"/>
    <x v="5"/>
    <x v="1"/>
    <s v="Check Price"/>
  </r>
  <r>
    <s v="ORD0251"/>
    <x v="208"/>
    <s v="Danish Malik"/>
    <s v="Lahore"/>
    <x v="3"/>
    <x v="7"/>
    <x v="2"/>
    <n v="10"/>
    <n v="1500"/>
    <n v="0.2"/>
    <n v="12000"/>
    <x v="7"/>
    <x v="2"/>
    <s v="Check Price"/>
  </r>
  <r>
    <s v="ORD0252"/>
    <x v="209"/>
    <s v="Ayesha Malik"/>
    <s v="Faisalabad"/>
    <x v="4"/>
    <x v="4"/>
    <x v="1"/>
    <n v="5"/>
    <n v="28000"/>
    <n v="0.05"/>
    <n v="133000"/>
    <x v="6"/>
    <x v="1"/>
    <s v="Check Price"/>
  </r>
  <r>
    <s v="ORD0253"/>
    <x v="138"/>
    <s v="Sana Ali"/>
    <s v="Rawalpindi"/>
    <x v="4"/>
    <x v="2"/>
    <x v="2"/>
    <n v="3"/>
    <n v="85000"/>
    <n v="0.25"/>
    <n v="191250"/>
    <x v="0"/>
    <x v="3"/>
    <s v="Check Price"/>
  </r>
  <r>
    <s v="ORD0254"/>
    <x v="210"/>
    <s v="Sara Ahmed"/>
    <s v="Hyderabad"/>
    <x v="0"/>
    <x v="0"/>
    <x v="0"/>
    <n v="6"/>
    <n v="22000"/>
    <n v="0.2"/>
    <n v="105600"/>
    <x v="2"/>
    <x v="1"/>
    <s v="OK"/>
  </r>
  <r>
    <s v="ORD0255"/>
    <x v="211"/>
    <s v="Fatima Noor"/>
    <s v="Quetta"/>
    <x v="0"/>
    <x v="11"/>
    <x v="2"/>
    <n v="7"/>
    <n v="2500"/>
    <n v="0.1"/>
    <n v="15750"/>
    <x v="6"/>
    <x v="0"/>
    <s v="Check Price"/>
  </r>
  <r>
    <s v="ORD0256"/>
    <x v="212"/>
    <s v="Owais Raza"/>
    <s v="Rawalpindi"/>
    <x v="1"/>
    <x v="8"/>
    <x v="2"/>
    <n v="9"/>
    <n v="5000"/>
    <n v="0.1"/>
    <n v="40500"/>
    <x v="1"/>
    <x v="2"/>
    <s v="OK"/>
  </r>
  <r>
    <s v="ORD0257"/>
    <x v="213"/>
    <s v="Owais Raza"/>
    <s v="Hyderabad"/>
    <x v="2"/>
    <x v="3"/>
    <x v="2"/>
    <n v="3"/>
    <n v="1500"/>
    <n v="0.25"/>
    <n v="3375"/>
    <x v="4"/>
    <x v="1"/>
    <s v="OK"/>
  </r>
  <r>
    <s v="ORD0258"/>
    <x v="214"/>
    <s v="Talha Ahmed"/>
    <s v="Sialkot"/>
    <x v="2"/>
    <x v="10"/>
    <x v="1"/>
    <n v="6"/>
    <n v="28000"/>
    <n v="0.15"/>
    <n v="142800"/>
    <x v="3"/>
    <x v="3"/>
    <s v="Check Price"/>
  </r>
  <r>
    <s v="ORD0259"/>
    <x v="215"/>
    <s v="Ayesha Malik"/>
    <s v="Rawalpindi"/>
    <x v="0"/>
    <x v="10"/>
    <x v="0"/>
    <n v="7"/>
    <n v="28000"/>
    <n v="0.15"/>
    <n v="166600"/>
    <x v="0"/>
    <x v="1"/>
    <s v="Check Price"/>
  </r>
  <r>
    <s v="ORD0260"/>
    <x v="126"/>
    <s v="Zain Malik"/>
    <s v="Islamabad"/>
    <x v="0"/>
    <x v="8"/>
    <x v="0"/>
    <n v="5"/>
    <n v="22000"/>
    <n v="0.05"/>
    <n v="104500"/>
    <x v="2"/>
    <x v="3"/>
    <s v="Check Price"/>
  </r>
  <r>
    <s v="ORD0261"/>
    <x v="216"/>
    <s v="Laiba Khan"/>
    <s v="Faisalabad"/>
    <x v="4"/>
    <x v="5"/>
    <x v="1"/>
    <n v="5"/>
    <n v="28000"/>
    <n v="0.1"/>
    <n v="126000"/>
    <x v="4"/>
    <x v="3"/>
    <s v="Check Price"/>
  </r>
  <r>
    <s v="ORD0262"/>
    <x v="217"/>
    <s v="Sana Ali"/>
    <s v="Faisalabad"/>
    <x v="4"/>
    <x v="6"/>
    <x v="1"/>
    <n v="10"/>
    <n v="85000"/>
    <n v="0.05"/>
    <n v="807500"/>
    <x v="8"/>
    <x v="1"/>
    <s v="OK"/>
  </r>
  <r>
    <s v="ORD0263"/>
    <x v="218"/>
    <s v="Ali Khan"/>
    <s v="Hyderabad"/>
    <x v="3"/>
    <x v="4"/>
    <x v="1"/>
    <n v="6"/>
    <n v="12000"/>
    <n v="0.15"/>
    <n v="61200"/>
    <x v="5"/>
    <x v="0"/>
    <s v="Check Price"/>
  </r>
  <r>
    <s v="ORD0264"/>
    <x v="219"/>
    <s v="Hina Shah"/>
    <s v="Hyderabad"/>
    <x v="0"/>
    <x v="8"/>
    <x v="1"/>
    <n v="9"/>
    <n v="5000"/>
    <n v="0.2"/>
    <n v="36000"/>
    <x v="1"/>
    <x v="3"/>
    <s v="OK"/>
  </r>
  <r>
    <s v="ORD0265"/>
    <x v="220"/>
    <s v="Talha Ahmed"/>
    <s v="Karachi"/>
    <x v="2"/>
    <x v="0"/>
    <x v="0"/>
    <n v="4"/>
    <n v="22000"/>
    <n v="0.2"/>
    <n v="70400"/>
    <x v="3"/>
    <x v="2"/>
    <s v="OK"/>
  </r>
  <r>
    <s v="ORD0266"/>
    <x v="42"/>
    <s v="Ayesha Malik"/>
    <s v="Rawalpindi"/>
    <x v="2"/>
    <x v="1"/>
    <x v="0"/>
    <n v="4"/>
    <n v="2000"/>
    <n v="0.1"/>
    <n v="7200"/>
    <x v="1"/>
    <x v="2"/>
    <s v="Check Price"/>
  </r>
  <r>
    <s v="ORD0267"/>
    <x v="221"/>
    <s v="Bilal Ahmed"/>
    <s v="Multan"/>
    <x v="5"/>
    <x v="0"/>
    <x v="0"/>
    <n v="2"/>
    <n v="22000"/>
    <n v="0.2"/>
    <n v="35200"/>
    <x v="6"/>
    <x v="0"/>
    <s v="OK"/>
  </r>
  <r>
    <s v="ORD0268"/>
    <x v="193"/>
    <s v="Sana Ali"/>
    <s v="Lahore"/>
    <x v="1"/>
    <x v="3"/>
    <x v="2"/>
    <n v="4"/>
    <n v="1500"/>
    <n v="0.15"/>
    <n v="5100"/>
    <x v="9"/>
    <x v="3"/>
    <s v="OK"/>
  </r>
  <r>
    <s v="ORD0269"/>
    <x v="0"/>
    <s v="Sara Ahmed"/>
    <s v="Hyderabad"/>
    <x v="1"/>
    <x v="11"/>
    <x v="2"/>
    <n v="9"/>
    <n v="5000"/>
    <n v="0.15"/>
    <n v="38250"/>
    <x v="0"/>
    <x v="3"/>
    <s v="Check Price"/>
  </r>
  <r>
    <s v="ORD0270"/>
    <x v="46"/>
    <s v="Hamza Ali"/>
    <s v="Karachi"/>
    <x v="5"/>
    <x v="5"/>
    <x v="1"/>
    <n v="6"/>
    <n v="1200"/>
    <n v="0.2"/>
    <n v="5760"/>
    <x v="6"/>
    <x v="0"/>
    <s v="Check Price"/>
  </r>
  <r>
    <s v="ORD0271"/>
    <x v="20"/>
    <s v="Mariam Noor"/>
    <s v="Hyderabad"/>
    <x v="1"/>
    <x v="0"/>
    <x v="0"/>
    <n v="6"/>
    <n v="22000"/>
    <n v="0.2"/>
    <n v="105600"/>
    <x v="1"/>
    <x v="2"/>
    <s v="OK"/>
  </r>
  <r>
    <s v="ORD0272"/>
    <x v="157"/>
    <s v="Maham Khan"/>
    <s v="Rawalpindi"/>
    <x v="4"/>
    <x v="8"/>
    <x v="0"/>
    <n v="9"/>
    <n v="2000"/>
    <n v="0.1"/>
    <n v="16200"/>
    <x v="3"/>
    <x v="1"/>
    <s v="Check Price"/>
  </r>
  <r>
    <s v="ORD0273"/>
    <x v="222"/>
    <s v="Mariam Noor"/>
    <s v="Faisalabad"/>
    <x v="0"/>
    <x v="4"/>
    <x v="0"/>
    <n v="2"/>
    <n v="5000"/>
    <n v="0.1"/>
    <n v="9000"/>
    <x v="4"/>
    <x v="0"/>
    <s v="Check Price"/>
  </r>
  <r>
    <s v="ORD0274"/>
    <x v="67"/>
    <s v="Saad Raza"/>
    <s v="Islamabad"/>
    <x v="3"/>
    <x v="0"/>
    <x v="0"/>
    <n v="9"/>
    <n v="22000"/>
    <n v="0.05"/>
    <n v="188100"/>
    <x v="3"/>
    <x v="2"/>
    <s v="OK"/>
  </r>
  <r>
    <s v="ORD0275"/>
    <x v="96"/>
    <s v="Sana Ali"/>
    <s v="Faisalabad"/>
    <x v="3"/>
    <x v="0"/>
    <x v="0"/>
    <n v="7"/>
    <n v="22000"/>
    <n v="0.2"/>
    <n v="123200"/>
    <x v="1"/>
    <x v="1"/>
    <s v="OK"/>
  </r>
  <r>
    <s v="ORD0276"/>
    <x v="223"/>
    <s v="Sara Ahmed"/>
    <s v="Karachi"/>
    <x v="0"/>
    <x v="11"/>
    <x v="2"/>
    <n v="5"/>
    <n v="28000"/>
    <n v="0.15"/>
    <n v="119000"/>
    <x v="0"/>
    <x v="3"/>
    <s v="Check Price"/>
  </r>
  <r>
    <s v="ORD0277"/>
    <x v="224"/>
    <s v="Danish Malik"/>
    <s v="Lahore"/>
    <x v="0"/>
    <x v="2"/>
    <x v="2"/>
    <n v="5"/>
    <n v="350"/>
    <n v="0.05"/>
    <n v="1662.5"/>
    <x v="8"/>
    <x v="2"/>
    <s v="Check Price"/>
  </r>
  <r>
    <s v="ORD0278"/>
    <x v="225"/>
    <s v="Bilal Ahmed"/>
    <s v="Sialkot"/>
    <x v="0"/>
    <x v="11"/>
    <x v="1"/>
    <n v="9"/>
    <n v="4000"/>
    <n v="0.15"/>
    <n v="30600"/>
    <x v="6"/>
    <x v="1"/>
    <s v="Check Price"/>
  </r>
  <r>
    <s v="ORD0279"/>
    <x v="226"/>
    <s v="Hamza Ali"/>
    <s v="Sialkot"/>
    <x v="2"/>
    <x v="5"/>
    <x v="2"/>
    <n v="7"/>
    <n v="4000"/>
    <n v="0.1"/>
    <n v="25200"/>
    <x v="3"/>
    <x v="2"/>
    <s v="Check Price"/>
  </r>
  <r>
    <s v="ORD0280"/>
    <x v="227"/>
    <s v="Mariam Noor"/>
    <s v="Sialkot"/>
    <x v="3"/>
    <x v="8"/>
    <x v="1"/>
    <n v="6"/>
    <n v="12000"/>
    <n v="0.05"/>
    <n v="68400"/>
    <x v="7"/>
    <x v="0"/>
    <s v="Check Price"/>
  </r>
  <r>
    <s v="ORD0281"/>
    <x v="228"/>
    <s v="Hina Shah"/>
    <s v="Lahore"/>
    <x v="3"/>
    <x v="5"/>
    <x v="2"/>
    <n v="7"/>
    <n v="5000"/>
    <n v="0.15"/>
    <n v="29750"/>
    <x v="9"/>
    <x v="3"/>
    <s v="Check Price"/>
  </r>
  <r>
    <s v="ORD0282"/>
    <x v="210"/>
    <s v="Ahmed Raza"/>
    <s v="Quetta"/>
    <x v="1"/>
    <x v="0"/>
    <x v="0"/>
    <n v="3"/>
    <n v="22000"/>
    <n v="0.1"/>
    <n v="59400"/>
    <x v="4"/>
    <x v="2"/>
    <s v="OK"/>
  </r>
  <r>
    <s v="ORD0283"/>
    <x v="229"/>
    <s v="Ayesha Malik"/>
    <s v="Hyderabad"/>
    <x v="1"/>
    <x v="1"/>
    <x v="2"/>
    <n v="9"/>
    <n v="4000"/>
    <n v="0.15"/>
    <n v="30600"/>
    <x v="1"/>
    <x v="1"/>
    <s v="OK"/>
  </r>
  <r>
    <s v="ORD0284"/>
    <x v="230"/>
    <s v="Usman Khan"/>
    <s v="Karachi"/>
    <x v="4"/>
    <x v="2"/>
    <x v="0"/>
    <n v="9"/>
    <n v="12000"/>
    <n v="0.05"/>
    <n v="102600"/>
    <x v="8"/>
    <x v="2"/>
    <s v="Check Price"/>
  </r>
  <r>
    <s v="ORD0285"/>
    <x v="153"/>
    <s v="Iqra Khan"/>
    <s v="Multan"/>
    <x v="3"/>
    <x v="1"/>
    <x v="1"/>
    <n v="10"/>
    <n v="1200"/>
    <n v="0.25"/>
    <n v="9000"/>
    <x v="9"/>
    <x v="2"/>
    <s v="Check Price"/>
  </r>
  <r>
    <s v="ORD0286"/>
    <x v="231"/>
    <s v="Fatima Noor"/>
    <s v="Lahore"/>
    <x v="1"/>
    <x v="10"/>
    <x v="0"/>
    <n v="9"/>
    <n v="85000"/>
    <n v="0.15"/>
    <n v="650250"/>
    <x v="5"/>
    <x v="0"/>
    <s v="Check Price"/>
  </r>
  <r>
    <s v="ORD0287"/>
    <x v="232"/>
    <s v="Saad Raza"/>
    <s v="Multan"/>
    <x v="0"/>
    <x v="4"/>
    <x v="1"/>
    <n v="8"/>
    <n v="2000"/>
    <n v="0.15"/>
    <n v="13600"/>
    <x v="4"/>
    <x v="3"/>
    <s v="Check Price"/>
  </r>
  <r>
    <s v="ORD0288"/>
    <x v="233"/>
    <s v="Iqra Khan"/>
    <s v="Multan"/>
    <x v="2"/>
    <x v="6"/>
    <x v="1"/>
    <n v="8"/>
    <n v="85000"/>
    <n v="0.05"/>
    <n v="646000"/>
    <x v="2"/>
    <x v="2"/>
    <s v="OK"/>
  </r>
  <r>
    <s v="ORD0289"/>
    <x v="234"/>
    <s v="Saad Raza"/>
    <s v="Lahore"/>
    <x v="1"/>
    <x v="6"/>
    <x v="1"/>
    <n v="5"/>
    <n v="85000"/>
    <n v="0.05"/>
    <n v="403750"/>
    <x v="7"/>
    <x v="2"/>
    <s v="OK"/>
  </r>
  <r>
    <s v="ORD0290"/>
    <x v="235"/>
    <s v="Sara Ahmed"/>
    <s v="Peshawar"/>
    <x v="3"/>
    <x v="8"/>
    <x v="2"/>
    <n v="9"/>
    <n v="1200"/>
    <n v="0.25"/>
    <n v="8100"/>
    <x v="2"/>
    <x v="2"/>
    <s v="Check Price"/>
  </r>
  <r>
    <s v="ORD0291"/>
    <x v="236"/>
    <s v="Ali Khan"/>
    <s v="Peshawar"/>
    <x v="0"/>
    <x v="3"/>
    <x v="2"/>
    <n v="6"/>
    <n v="1500"/>
    <n v="0.1"/>
    <n v="8100"/>
    <x v="5"/>
    <x v="0"/>
    <s v="OK"/>
  </r>
  <r>
    <s v="ORD0292"/>
    <x v="127"/>
    <s v="Talha Ahmed"/>
    <s v="Hyderabad"/>
    <x v="2"/>
    <x v="2"/>
    <x v="1"/>
    <n v="8"/>
    <n v="4000"/>
    <n v="0.1"/>
    <n v="28800"/>
    <x v="2"/>
    <x v="1"/>
    <s v="Check Price"/>
  </r>
  <r>
    <s v="ORD0293"/>
    <x v="237"/>
    <s v="Maham Khan"/>
    <s v="Hyderabad"/>
    <x v="5"/>
    <x v="4"/>
    <x v="2"/>
    <n v="4"/>
    <n v="5000"/>
    <n v="0.25"/>
    <n v="15000"/>
    <x v="6"/>
    <x v="1"/>
    <s v="Check Price"/>
  </r>
  <r>
    <s v="ORD0294"/>
    <x v="145"/>
    <s v="Hamza Ali"/>
    <s v="Hyderabad"/>
    <x v="5"/>
    <x v="0"/>
    <x v="0"/>
    <n v="6"/>
    <n v="22000"/>
    <n v="0.15"/>
    <n v="112200"/>
    <x v="3"/>
    <x v="1"/>
    <s v="OK"/>
  </r>
  <r>
    <s v="ORD0295"/>
    <x v="238"/>
    <s v="Ali Khan"/>
    <s v="Faisalabad"/>
    <x v="5"/>
    <x v="8"/>
    <x v="0"/>
    <n v="8"/>
    <n v="5000"/>
    <n v="0.1"/>
    <n v="36000"/>
    <x v="5"/>
    <x v="0"/>
    <s v="OK"/>
  </r>
  <r>
    <s v="ORD0296"/>
    <x v="128"/>
    <s v="Owais Raza"/>
    <s v="Sialkot"/>
    <x v="0"/>
    <x v="11"/>
    <x v="0"/>
    <n v="6"/>
    <n v="350"/>
    <n v="0.1"/>
    <n v="1890"/>
    <x v="3"/>
    <x v="2"/>
    <s v="Check Price"/>
  </r>
  <r>
    <s v="ORD0297"/>
    <x v="41"/>
    <s v="Bilal Ahmed"/>
    <s v="Multan"/>
    <x v="3"/>
    <x v="6"/>
    <x v="1"/>
    <n v="1"/>
    <n v="85000"/>
    <n v="0.05"/>
    <n v="80750"/>
    <x v="5"/>
    <x v="2"/>
    <s v="OK"/>
  </r>
  <r>
    <s v="ORD0298"/>
    <x v="239"/>
    <s v="Hamza Ali"/>
    <s v="Islamabad"/>
    <x v="5"/>
    <x v="0"/>
    <x v="0"/>
    <n v="1"/>
    <n v="22000"/>
    <n v="0.2"/>
    <n v="17600"/>
    <x v="3"/>
    <x v="1"/>
    <s v="OK"/>
  </r>
  <r>
    <s v="ORD0299"/>
    <x v="240"/>
    <s v="Owais Raza"/>
    <s v="Faisalabad"/>
    <x v="0"/>
    <x v="5"/>
    <x v="0"/>
    <n v="8"/>
    <n v="5000"/>
    <n v="0.2"/>
    <n v="32000"/>
    <x v="9"/>
    <x v="2"/>
    <s v="Check Price"/>
  </r>
  <r>
    <s v="ORD0300"/>
    <x v="113"/>
    <s v="Hassan Ahmed"/>
    <s v="Islamabad"/>
    <x v="2"/>
    <x v="10"/>
    <x v="1"/>
    <n v="5"/>
    <n v="1200"/>
    <n v="0.2"/>
    <n v="4800"/>
    <x v="6"/>
    <x v="1"/>
    <s v="OK"/>
  </r>
  <r>
    <s v="ORD0301"/>
    <x v="241"/>
    <s v="Fatima Noor"/>
    <s v="Lahore"/>
    <x v="0"/>
    <x v="0"/>
    <x v="0"/>
    <n v="6"/>
    <n v="22000"/>
    <n v="0.1"/>
    <n v="118800"/>
    <x v="6"/>
    <x v="3"/>
    <s v="OK"/>
  </r>
  <r>
    <s v="ORD0302"/>
    <x v="204"/>
    <s v="Usman Khan"/>
    <s v="Peshawar"/>
    <x v="3"/>
    <x v="3"/>
    <x v="2"/>
    <n v="1"/>
    <n v="1500"/>
    <n v="0.1"/>
    <n v="1350"/>
    <x v="2"/>
    <x v="2"/>
    <s v="OK"/>
  </r>
  <r>
    <s v="ORD0303"/>
    <x v="242"/>
    <s v="Talha Ahmed"/>
    <s v="Islamabad"/>
    <x v="2"/>
    <x v="10"/>
    <x v="1"/>
    <n v="9"/>
    <n v="22000"/>
    <n v="0.15"/>
    <n v="168300"/>
    <x v="6"/>
    <x v="3"/>
    <s v="Check Price"/>
  </r>
  <r>
    <s v="ORD0304"/>
    <x v="243"/>
    <s v="Talha Ahmed"/>
    <s v="Peshawar"/>
    <x v="3"/>
    <x v="1"/>
    <x v="1"/>
    <n v="7"/>
    <n v="5000"/>
    <n v="0.05"/>
    <n v="33250"/>
    <x v="3"/>
    <x v="1"/>
    <s v="Check Price"/>
  </r>
  <r>
    <s v="ORD0305"/>
    <x v="101"/>
    <s v="Danish Malik"/>
    <s v="Quetta"/>
    <x v="5"/>
    <x v="3"/>
    <x v="2"/>
    <n v="2"/>
    <n v="1500"/>
    <n v="0.15"/>
    <n v="2550"/>
    <x v="1"/>
    <x v="1"/>
    <s v="OK"/>
  </r>
  <r>
    <s v="ORD0306"/>
    <x v="244"/>
    <s v="Ali Khan"/>
    <s v="Karachi"/>
    <x v="5"/>
    <x v="0"/>
    <x v="0"/>
    <n v="1"/>
    <n v="22000"/>
    <n v="0.15"/>
    <n v="18700"/>
    <x v="0"/>
    <x v="2"/>
    <s v="OK"/>
  </r>
  <r>
    <s v="ORD0307"/>
    <x v="245"/>
    <s v="Mariam Noor"/>
    <s v="Rawalpindi"/>
    <x v="3"/>
    <x v="2"/>
    <x v="2"/>
    <n v="2"/>
    <n v="2000"/>
    <n v="0.15"/>
    <n v="3400"/>
    <x v="6"/>
    <x v="2"/>
    <s v="Check Price"/>
  </r>
  <r>
    <s v="ORD0308"/>
    <x v="246"/>
    <s v="Danish Malik"/>
    <s v="Rawalpindi"/>
    <x v="5"/>
    <x v="2"/>
    <x v="2"/>
    <n v="5"/>
    <n v="22000"/>
    <n v="0.1"/>
    <n v="99000"/>
    <x v="3"/>
    <x v="0"/>
    <s v="Check Price"/>
  </r>
  <r>
    <s v="ORD0309"/>
    <x v="247"/>
    <s v="Sara Ahmed"/>
    <s v="Lahore"/>
    <x v="2"/>
    <x v="0"/>
    <x v="0"/>
    <n v="1"/>
    <n v="22000"/>
    <n v="0.1"/>
    <n v="19800"/>
    <x v="5"/>
    <x v="1"/>
    <s v="OK"/>
  </r>
  <r>
    <s v="ORD0310"/>
    <x v="248"/>
    <s v="Saad Raza"/>
    <s v="Rawalpindi"/>
    <x v="0"/>
    <x v="3"/>
    <x v="2"/>
    <n v="4"/>
    <n v="1500"/>
    <n v="0.2"/>
    <n v="4800"/>
    <x v="6"/>
    <x v="2"/>
    <s v="OK"/>
  </r>
  <r>
    <s v="ORD0311"/>
    <x v="74"/>
    <s v="Usman Khan"/>
    <s v="Sialkot"/>
    <x v="5"/>
    <x v="6"/>
    <x v="1"/>
    <n v="2"/>
    <n v="85000"/>
    <n v="0.05"/>
    <n v="161500"/>
    <x v="6"/>
    <x v="2"/>
    <s v="OK"/>
  </r>
  <r>
    <s v="ORD0312"/>
    <x v="249"/>
    <s v="Hina Shah"/>
    <s v="Karachi"/>
    <x v="1"/>
    <x v="3"/>
    <x v="2"/>
    <n v="3"/>
    <n v="1500"/>
    <n v="0.05"/>
    <n v="4275"/>
    <x v="4"/>
    <x v="2"/>
    <s v="OK"/>
  </r>
  <r>
    <s v="ORD0313"/>
    <x v="250"/>
    <s v="Talha Ahmed"/>
    <s v="Peshawar"/>
    <x v="2"/>
    <x v="7"/>
    <x v="2"/>
    <n v="6"/>
    <n v="28000"/>
    <n v="0.15"/>
    <n v="142800"/>
    <x v="9"/>
    <x v="1"/>
    <s v="Check Price"/>
  </r>
  <r>
    <s v="ORD0314"/>
    <x v="251"/>
    <s v="Laiba Khan"/>
    <s v="Peshawar"/>
    <x v="2"/>
    <x v="9"/>
    <x v="0"/>
    <n v="3"/>
    <n v="12000"/>
    <n v="0.15"/>
    <n v="30600"/>
    <x v="4"/>
    <x v="2"/>
    <s v="Check Price"/>
  </r>
  <r>
    <s v="ORD0315"/>
    <x v="252"/>
    <s v="Danish Malik"/>
    <s v="Rawalpindi"/>
    <x v="0"/>
    <x v="9"/>
    <x v="2"/>
    <n v="7"/>
    <n v="12000"/>
    <n v="0.2"/>
    <n v="67200"/>
    <x v="2"/>
    <x v="2"/>
    <s v="Check Price"/>
  </r>
  <r>
    <s v="ORD0316"/>
    <x v="118"/>
    <s v="Ahmed Raza"/>
    <s v="Karachi"/>
    <x v="0"/>
    <x v="6"/>
    <x v="1"/>
    <n v="3"/>
    <n v="85000"/>
    <n v="0.25"/>
    <n v="191250"/>
    <x v="2"/>
    <x v="3"/>
    <s v="OK"/>
  </r>
  <r>
    <s v="ORD0317"/>
    <x v="253"/>
    <s v="Ahmed Raza"/>
    <s v="Rawalpindi"/>
    <x v="3"/>
    <x v="6"/>
    <x v="1"/>
    <n v="10"/>
    <n v="85000"/>
    <n v="0.05"/>
    <n v="807500"/>
    <x v="1"/>
    <x v="2"/>
    <s v="OK"/>
  </r>
  <r>
    <s v="ORD0318"/>
    <x v="254"/>
    <s v="Talha Ahmed"/>
    <s v="Sialkot"/>
    <x v="3"/>
    <x v="11"/>
    <x v="1"/>
    <n v="1"/>
    <n v="28000"/>
    <n v="0.2"/>
    <n v="22400"/>
    <x v="8"/>
    <x v="3"/>
    <s v="Check Price"/>
  </r>
  <r>
    <s v="ORD0319"/>
    <x v="148"/>
    <s v="Ali Khan"/>
    <s v="Multan"/>
    <x v="3"/>
    <x v="9"/>
    <x v="1"/>
    <n v="5"/>
    <n v="30000"/>
    <n v="0.25"/>
    <n v="112500"/>
    <x v="0"/>
    <x v="3"/>
    <s v="Check Price"/>
  </r>
  <r>
    <s v="ORD0320"/>
    <x v="59"/>
    <s v="Ayesha Malik"/>
    <s v="Multan"/>
    <x v="5"/>
    <x v="9"/>
    <x v="1"/>
    <n v="4"/>
    <n v="28000"/>
    <n v="0.1"/>
    <n v="100800"/>
    <x v="6"/>
    <x v="3"/>
    <s v="OK"/>
  </r>
  <r>
    <s v="ORD0321"/>
    <x v="255"/>
    <s v="Hamza Ali"/>
    <s v="Lahore"/>
    <x v="1"/>
    <x v="6"/>
    <x v="1"/>
    <n v="8"/>
    <n v="85000"/>
    <n v="0.05"/>
    <n v="646000"/>
    <x v="1"/>
    <x v="2"/>
    <s v="OK"/>
  </r>
  <r>
    <s v="ORD0322"/>
    <x v="256"/>
    <s v="Hamza Ali"/>
    <s v="Quetta"/>
    <x v="2"/>
    <x v="9"/>
    <x v="0"/>
    <n v="9"/>
    <n v="1500"/>
    <n v="0.05"/>
    <n v="12825"/>
    <x v="1"/>
    <x v="0"/>
    <s v="Check Price"/>
  </r>
  <r>
    <s v="ORD0323"/>
    <x v="257"/>
    <s v="Ayesha Malik"/>
    <s v="Islamabad"/>
    <x v="4"/>
    <x v="0"/>
    <x v="0"/>
    <n v="3"/>
    <n v="22000"/>
    <n v="0.25"/>
    <n v="49500"/>
    <x v="3"/>
    <x v="0"/>
    <s v="OK"/>
  </r>
  <r>
    <s v="ORD0324"/>
    <x v="258"/>
    <s v="Owais Raza"/>
    <s v="Rawalpindi"/>
    <x v="2"/>
    <x v="7"/>
    <x v="0"/>
    <n v="6"/>
    <n v="30000"/>
    <n v="0.15"/>
    <n v="153000"/>
    <x v="8"/>
    <x v="2"/>
    <s v="Check Price"/>
  </r>
  <r>
    <s v="ORD0325"/>
    <x v="110"/>
    <s v="Iqra Khan"/>
    <s v="Faisalabad"/>
    <x v="2"/>
    <x v="4"/>
    <x v="2"/>
    <n v="3"/>
    <n v="85000"/>
    <n v="0.1"/>
    <n v="229500"/>
    <x v="8"/>
    <x v="1"/>
    <s v="Check Price"/>
  </r>
  <r>
    <s v="ORD0326"/>
    <x v="161"/>
    <s v="Talha Ahmed"/>
    <s v="Peshawar"/>
    <x v="4"/>
    <x v="4"/>
    <x v="1"/>
    <n v="1"/>
    <n v="2500"/>
    <n v="0.25"/>
    <n v="1875"/>
    <x v="2"/>
    <x v="0"/>
    <s v="Check Price"/>
  </r>
  <r>
    <s v="ORD0327"/>
    <x v="188"/>
    <s v="Fatima Noor"/>
    <s v="Sialkot"/>
    <x v="1"/>
    <x v="6"/>
    <x v="1"/>
    <n v="6"/>
    <n v="85000"/>
    <n v="0.2"/>
    <n v="408000"/>
    <x v="5"/>
    <x v="0"/>
    <s v="OK"/>
  </r>
  <r>
    <s v="ORD0328"/>
    <x v="259"/>
    <s v="Sara Ahmed"/>
    <s v="Rawalpindi"/>
    <x v="2"/>
    <x v="1"/>
    <x v="2"/>
    <n v="2"/>
    <n v="28000"/>
    <n v="0.1"/>
    <n v="50400"/>
    <x v="4"/>
    <x v="3"/>
    <s v="Check Price"/>
  </r>
  <r>
    <s v="ORD0329"/>
    <x v="260"/>
    <s v="Maham Khan"/>
    <s v="Islamabad"/>
    <x v="2"/>
    <x v="10"/>
    <x v="0"/>
    <n v="8"/>
    <n v="12000"/>
    <n v="0.1"/>
    <n v="86400"/>
    <x v="7"/>
    <x v="2"/>
    <s v="Check Price"/>
  </r>
  <r>
    <s v="ORD0330"/>
    <x v="224"/>
    <s v="Saad Raza"/>
    <s v="Faisalabad"/>
    <x v="1"/>
    <x v="7"/>
    <x v="0"/>
    <n v="7"/>
    <n v="1500"/>
    <n v="0.25"/>
    <n v="7875"/>
    <x v="0"/>
    <x v="3"/>
    <s v="Check Price"/>
  </r>
  <r>
    <s v="ORD0331"/>
    <x v="223"/>
    <s v="Saad Raza"/>
    <s v="Sialkot"/>
    <x v="1"/>
    <x v="3"/>
    <x v="2"/>
    <n v="5"/>
    <n v="1500"/>
    <n v="0.25"/>
    <n v="5625"/>
    <x v="7"/>
    <x v="3"/>
    <s v="OK"/>
  </r>
  <r>
    <s v="ORD0332"/>
    <x v="261"/>
    <s v="Saad Raza"/>
    <s v="Rawalpindi"/>
    <x v="1"/>
    <x v="10"/>
    <x v="1"/>
    <n v="1"/>
    <n v="1200"/>
    <n v="0.15"/>
    <n v="1020"/>
    <x v="8"/>
    <x v="1"/>
    <s v="OK"/>
  </r>
  <r>
    <s v="ORD0333"/>
    <x v="172"/>
    <s v="Saad Raza"/>
    <s v="Hyderabad"/>
    <x v="1"/>
    <x v="2"/>
    <x v="0"/>
    <n v="8"/>
    <n v="350"/>
    <n v="0.1"/>
    <n v="2520"/>
    <x v="0"/>
    <x v="3"/>
    <s v="Check Price"/>
  </r>
  <r>
    <s v="ORD0334"/>
    <x v="262"/>
    <s v="Maham Khan"/>
    <s v="Sialkot"/>
    <x v="0"/>
    <x v="7"/>
    <x v="2"/>
    <n v="9"/>
    <n v="1200"/>
    <n v="0.2"/>
    <n v="8640"/>
    <x v="7"/>
    <x v="3"/>
    <s v="Check Price"/>
  </r>
  <r>
    <s v="ORD0335"/>
    <x v="263"/>
    <s v="Saad Raza"/>
    <s v="Rawalpindi"/>
    <x v="2"/>
    <x v="2"/>
    <x v="0"/>
    <n v="2"/>
    <n v="1200"/>
    <n v="0.2"/>
    <n v="1920"/>
    <x v="9"/>
    <x v="1"/>
    <s v="Check Price"/>
  </r>
  <r>
    <s v="ORD0336"/>
    <x v="264"/>
    <s v="Danish Malik"/>
    <s v="Faisalabad"/>
    <x v="2"/>
    <x v="1"/>
    <x v="1"/>
    <n v="9"/>
    <n v="350"/>
    <n v="0.1"/>
    <n v="2835"/>
    <x v="5"/>
    <x v="1"/>
    <s v="Check Price"/>
  </r>
  <r>
    <s v="ORD0337"/>
    <x v="265"/>
    <s v="Usman Khan"/>
    <s v="Lahore"/>
    <x v="2"/>
    <x v="0"/>
    <x v="0"/>
    <n v="9"/>
    <n v="22000"/>
    <n v="0.1"/>
    <n v="178200"/>
    <x v="0"/>
    <x v="0"/>
    <s v="OK"/>
  </r>
  <r>
    <s v="ORD0338"/>
    <x v="73"/>
    <s v="Laiba Khan"/>
    <s v="Hyderabad"/>
    <x v="2"/>
    <x v="11"/>
    <x v="1"/>
    <n v="5"/>
    <n v="350"/>
    <n v="0.05"/>
    <n v="1662.5"/>
    <x v="7"/>
    <x v="0"/>
    <s v="Check Price"/>
  </r>
  <r>
    <s v="ORD0339"/>
    <x v="214"/>
    <s v="Ali Khan"/>
    <s v="Islamabad"/>
    <x v="0"/>
    <x v="2"/>
    <x v="2"/>
    <n v="1"/>
    <n v="1200"/>
    <n v="0.15"/>
    <n v="1020"/>
    <x v="2"/>
    <x v="1"/>
    <s v="Check Price"/>
  </r>
  <r>
    <s v="ORD0340"/>
    <x v="266"/>
    <s v="Mariam Noor"/>
    <s v="Multan"/>
    <x v="4"/>
    <x v="7"/>
    <x v="2"/>
    <n v="4"/>
    <n v="1500"/>
    <n v="0.25"/>
    <n v="4500"/>
    <x v="5"/>
    <x v="0"/>
    <s v="Check Price"/>
  </r>
  <r>
    <s v="ORD0341"/>
    <x v="267"/>
    <s v="Ahmed Raza"/>
    <s v="Hyderabad"/>
    <x v="0"/>
    <x v="0"/>
    <x v="0"/>
    <n v="4"/>
    <n v="22000"/>
    <n v="0.25"/>
    <n v="66000"/>
    <x v="9"/>
    <x v="1"/>
    <s v="OK"/>
  </r>
  <r>
    <s v="ORD0342"/>
    <x v="268"/>
    <s v="Maham Khan"/>
    <s v="Faisalabad"/>
    <x v="0"/>
    <x v="1"/>
    <x v="2"/>
    <n v="8"/>
    <n v="4000"/>
    <n v="0.05"/>
    <n v="30400"/>
    <x v="8"/>
    <x v="1"/>
    <s v="OK"/>
  </r>
  <r>
    <s v="ORD0343"/>
    <x v="269"/>
    <s v="Usman Khan"/>
    <s v="Quetta"/>
    <x v="2"/>
    <x v="4"/>
    <x v="1"/>
    <n v="7"/>
    <n v="5000"/>
    <n v="0.15"/>
    <n v="29750"/>
    <x v="4"/>
    <x v="3"/>
    <s v="Check Price"/>
  </r>
  <r>
    <s v="ORD0344"/>
    <x v="270"/>
    <s v="Iqra Khan"/>
    <s v="Islamabad"/>
    <x v="1"/>
    <x v="8"/>
    <x v="2"/>
    <n v="7"/>
    <n v="350"/>
    <n v="0.1"/>
    <n v="2205"/>
    <x v="2"/>
    <x v="1"/>
    <s v="Check Price"/>
  </r>
  <r>
    <s v="ORD0345"/>
    <x v="271"/>
    <s v="Zain Malik"/>
    <s v="Rawalpindi"/>
    <x v="4"/>
    <x v="4"/>
    <x v="1"/>
    <n v="8"/>
    <n v="4000"/>
    <n v="0.05"/>
    <n v="30400"/>
    <x v="6"/>
    <x v="1"/>
    <s v="Check Price"/>
  </r>
  <r>
    <s v="ORD0346"/>
    <x v="272"/>
    <s v="Talha Ahmed"/>
    <s v="Karachi"/>
    <x v="4"/>
    <x v="7"/>
    <x v="0"/>
    <n v="6"/>
    <n v="350"/>
    <n v="0.15"/>
    <n v="1785"/>
    <x v="1"/>
    <x v="1"/>
    <s v="OK"/>
  </r>
  <r>
    <s v="ORD0347"/>
    <x v="273"/>
    <s v="Saad Raza"/>
    <s v="Faisalabad"/>
    <x v="3"/>
    <x v="11"/>
    <x v="0"/>
    <n v="8"/>
    <n v="2500"/>
    <n v="0.1"/>
    <n v="18000"/>
    <x v="7"/>
    <x v="2"/>
    <s v="Check Price"/>
  </r>
  <r>
    <s v="ORD0348"/>
    <x v="5"/>
    <s v="Sara Ahmed"/>
    <s v="Quetta"/>
    <x v="3"/>
    <x v="1"/>
    <x v="1"/>
    <n v="3"/>
    <n v="4000"/>
    <n v="0.1"/>
    <n v="10800"/>
    <x v="5"/>
    <x v="0"/>
    <s v="OK"/>
  </r>
  <r>
    <s v="ORD0349"/>
    <x v="274"/>
    <s v="Hassan Ahmed"/>
    <s v="Peshawar"/>
    <x v="4"/>
    <x v="1"/>
    <x v="2"/>
    <n v="5"/>
    <n v="1200"/>
    <n v="0.25"/>
    <n v="4500"/>
    <x v="4"/>
    <x v="1"/>
    <s v="Check Price"/>
  </r>
  <r>
    <s v="ORD0350"/>
    <x v="275"/>
    <s v="Usman Khan"/>
    <s v="Sialkot"/>
    <x v="4"/>
    <x v="3"/>
    <x v="2"/>
    <n v="9"/>
    <n v="1500"/>
    <n v="0.25"/>
    <n v="10125"/>
    <x v="3"/>
    <x v="2"/>
    <s v="OK"/>
  </r>
  <r>
    <s v="ORD0351"/>
    <x v="276"/>
    <s v="Ahmed Raza"/>
    <s v="Islamabad"/>
    <x v="4"/>
    <x v="1"/>
    <x v="2"/>
    <n v="5"/>
    <n v="2500"/>
    <n v="0.15"/>
    <n v="10625"/>
    <x v="7"/>
    <x v="1"/>
    <s v="Check Price"/>
  </r>
  <r>
    <s v="ORD0352"/>
    <x v="277"/>
    <s v="Zain Malik"/>
    <s v="Islamabad"/>
    <x v="0"/>
    <x v="6"/>
    <x v="1"/>
    <n v="1"/>
    <n v="85000"/>
    <n v="0.1"/>
    <n v="76500"/>
    <x v="7"/>
    <x v="3"/>
    <s v="OK"/>
  </r>
  <r>
    <s v="ORD0353"/>
    <x v="278"/>
    <s v="Sana Ali"/>
    <s v="Lahore"/>
    <x v="4"/>
    <x v="6"/>
    <x v="1"/>
    <n v="9"/>
    <n v="85000"/>
    <n v="0.05"/>
    <n v="726750"/>
    <x v="6"/>
    <x v="2"/>
    <s v="OK"/>
  </r>
  <r>
    <s v="ORD0354"/>
    <x v="279"/>
    <s v="Danish Malik"/>
    <s v="Lahore"/>
    <x v="5"/>
    <x v="0"/>
    <x v="0"/>
    <n v="10"/>
    <n v="22000"/>
    <n v="0.1"/>
    <n v="198000"/>
    <x v="7"/>
    <x v="1"/>
    <s v="OK"/>
  </r>
  <r>
    <s v="ORD0355"/>
    <x v="280"/>
    <s v="Ayesha Malik"/>
    <s v="Islamabad"/>
    <x v="0"/>
    <x v="2"/>
    <x v="0"/>
    <n v="1"/>
    <n v="85000"/>
    <n v="0.1"/>
    <n v="76500"/>
    <x v="9"/>
    <x v="1"/>
    <s v="Check Price"/>
  </r>
  <r>
    <s v="ORD0356"/>
    <x v="281"/>
    <s v="Sana Ali"/>
    <s v="Peshawar"/>
    <x v="5"/>
    <x v="5"/>
    <x v="2"/>
    <n v="4"/>
    <n v="85000"/>
    <n v="0.25"/>
    <n v="255000"/>
    <x v="0"/>
    <x v="3"/>
    <s v="Check Price"/>
  </r>
  <r>
    <s v="ORD0357"/>
    <x v="282"/>
    <s v="Usman Khan"/>
    <s v="Faisalabad"/>
    <x v="0"/>
    <x v="11"/>
    <x v="2"/>
    <n v="1"/>
    <n v="2500"/>
    <n v="0.15"/>
    <n v="2125"/>
    <x v="9"/>
    <x v="3"/>
    <s v="Check Price"/>
  </r>
  <r>
    <s v="ORD0358"/>
    <x v="283"/>
    <s v="Ahmed Raza"/>
    <s v="Sialkot"/>
    <x v="1"/>
    <x v="3"/>
    <x v="2"/>
    <n v="10"/>
    <n v="1500"/>
    <n v="0.15"/>
    <n v="12750"/>
    <x v="5"/>
    <x v="1"/>
    <s v="OK"/>
  </r>
  <r>
    <s v="ORD0359"/>
    <x v="284"/>
    <s v="Hamza Ali"/>
    <s v="Lahore"/>
    <x v="2"/>
    <x v="9"/>
    <x v="1"/>
    <n v="8"/>
    <n v="2500"/>
    <n v="0.1"/>
    <n v="18000"/>
    <x v="5"/>
    <x v="3"/>
    <s v="Check Price"/>
  </r>
  <r>
    <s v="ORD0360"/>
    <x v="285"/>
    <s v="Sara Ahmed"/>
    <s v="Multan"/>
    <x v="2"/>
    <x v="6"/>
    <x v="1"/>
    <n v="5"/>
    <n v="85000"/>
    <n v="0.05"/>
    <n v="403750"/>
    <x v="0"/>
    <x v="2"/>
    <s v="OK"/>
  </r>
  <r>
    <s v="ORD0361"/>
    <x v="26"/>
    <s v="Talha Ahmed"/>
    <s v="Islamabad"/>
    <x v="2"/>
    <x v="1"/>
    <x v="2"/>
    <n v="5"/>
    <n v="85000"/>
    <n v="0.05"/>
    <n v="403750"/>
    <x v="0"/>
    <x v="3"/>
    <s v="Check Price"/>
  </r>
  <r>
    <s v="ORD0362"/>
    <x v="143"/>
    <s v="Ayesha Malik"/>
    <s v="Islamabad"/>
    <x v="5"/>
    <x v="0"/>
    <x v="0"/>
    <n v="2"/>
    <n v="22000"/>
    <n v="0.05"/>
    <n v="41800"/>
    <x v="0"/>
    <x v="3"/>
    <s v="OK"/>
  </r>
  <r>
    <s v="ORD0363"/>
    <x v="286"/>
    <s v="Danish Malik"/>
    <s v="Islamabad"/>
    <x v="0"/>
    <x v="7"/>
    <x v="1"/>
    <n v="3"/>
    <n v="22000"/>
    <n v="0.1"/>
    <n v="59400"/>
    <x v="6"/>
    <x v="0"/>
    <s v="Check Price"/>
  </r>
  <r>
    <s v="ORD0364"/>
    <x v="287"/>
    <s v="Talha Ahmed"/>
    <s v="Multan"/>
    <x v="2"/>
    <x v="8"/>
    <x v="2"/>
    <n v="3"/>
    <n v="2500"/>
    <n v="0.1"/>
    <n v="6750"/>
    <x v="8"/>
    <x v="2"/>
    <s v="Check Price"/>
  </r>
  <r>
    <s v="ORD0365"/>
    <x v="288"/>
    <s v="Hina Shah"/>
    <s v="Islamabad"/>
    <x v="5"/>
    <x v="8"/>
    <x v="2"/>
    <n v="2"/>
    <n v="22000"/>
    <n v="0.05"/>
    <n v="41800"/>
    <x v="6"/>
    <x v="0"/>
    <s v="Check Price"/>
  </r>
  <r>
    <s v="ORD0366"/>
    <x v="289"/>
    <s v="Iqra Khan"/>
    <s v="Lahore"/>
    <x v="3"/>
    <x v="0"/>
    <x v="0"/>
    <n v="3"/>
    <n v="22000"/>
    <n v="0.05"/>
    <n v="62700"/>
    <x v="3"/>
    <x v="2"/>
    <s v="OK"/>
  </r>
  <r>
    <s v="ORD0367"/>
    <x v="269"/>
    <s v="Talha Ahmed"/>
    <s v="Hyderabad"/>
    <x v="4"/>
    <x v="3"/>
    <x v="2"/>
    <n v="8"/>
    <n v="1500"/>
    <n v="0.05"/>
    <n v="11400"/>
    <x v="9"/>
    <x v="1"/>
    <s v="OK"/>
  </r>
  <r>
    <s v="ORD0368"/>
    <x v="290"/>
    <s v="Owais Raza"/>
    <s v="Peshawar"/>
    <x v="0"/>
    <x v="5"/>
    <x v="1"/>
    <n v="8"/>
    <n v="4000"/>
    <n v="0.1"/>
    <n v="28800"/>
    <x v="6"/>
    <x v="1"/>
    <s v="Check Price"/>
  </r>
  <r>
    <s v="ORD0369"/>
    <x v="291"/>
    <s v="Zain Malik"/>
    <s v="Lahore"/>
    <x v="0"/>
    <x v="6"/>
    <x v="1"/>
    <n v="4"/>
    <n v="85000"/>
    <n v="0.1"/>
    <n v="306000"/>
    <x v="1"/>
    <x v="3"/>
    <s v="OK"/>
  </r>
  <r>
    <s v="ORD0370"/>
    <x v="292"/>
    <s v="Ali Khan"/>
    <s v="Peshawar"/>
    <x v="3"/>
    <x v="6"/>
    <x v="1"/>
    <n v="7"/>
    <n v="85000"/>
    <n v="0.25"/>
    <n v="446250"/>
    <x v="6"/>
    <x v="2"/>
    <s v="OK"/>
  </r>
  <r>
    <s v="ORD0371"/>
    <x v="293"/>
    <s v="Hina Shah"/>
    <s v="Lahore"/>
    <x v="5"/>
    <x v="10"/>
    <x v="1"/>
    <n v="2"/>
    <n v="2000"/>
    <n v="0.15"/>
    <n v="3400"/>
    <x v="5"/>
    <x v="2"/>
    <s v="Check Price"/>
  </r>
  <r>
    <s v="ORD0372"/>
    <x v="84"/>
    <s v="Iqra Khan"/>
    <s v="Multan"/>
    <x v="1"/>
    <x v="3"/>
    <x v="2"/>
    <n v="4"/>
    <n v="1500"/>
    <n v="0.15"/>
    <n v="5100"/>
    <x v="5"/>
    <x v="3"/>
    <s v="OK"/>
  </r>
  <r>
    <s v="ORD0373"/>
    <x v="78"/>
    <s v="Fatima Noor"/>
    <s v="Karachi"/>
    <x v="3"/>
    <x v="1"/>
    <x v="1"/>
    <n v="2"/>
    <n v="1200"/>
    <n v="0.05"/>
    <n v="2280"/>
    <x v="8"/>
    <x v="0"/>
    <s v="Check Price"/>
  </r>
  <r>
    <s v="ORD0374"/>
    <x v="294"/>
    <s v="Saad Raza"/>
    <s v="Quetta"/>
    <x v="4"/>
    <x v="0"/>
    <x v="0"/>
    <n v="6"/>
    <n v="22000"/>
    <n v="0.25"/>
    <n v="99000"/>
    <x v="5"/>
    <x v="2"/>
    <s v="OK"/>
  </r>
  <r>
    <s v="ORD0375"/>
    <x v="226"/>
    <s v="Maham Khan"/>
    <s v="Rawalpindi"/>
    <x v="2"/>
    <x v="7"/>
    <x v="0"/>
    <n v="1"/>
    <n v="5000"/>
    <n v="0.05"/>
    <n v="4750"/>
    <x v="8"/>
    <x v="3"/>
    <s v="Check Price"/>
  </r>
  <r>
    <s v="ORD0376"/>
    <x v="295"/>
    <s v="Bilal Ahmed"/>
    <s v="Rawalpindi"/>
    <x v="5"/>
    <x v="0"/>
    <x v="0"/>
    <n v="8"/>
    <n v="22000"/>
    <n v="0.15"/>
    <n v="149600"/>
    <x v="2"/>
    <x v="1"/>
    <s v="OK"/>
  </r>
  <r>
    <s v="ORD0377"/>
    <x v="296"/>
    <s v="Usman Khan"/>
    <s v="Rawalpindi"/>
    <x v="1"/>
    <x v="0"/>
    <x v="0"/>
    <n v="10"/>
    <n v="22000"/>
    <n v="0.1"/>
    <n v="198000"/>
    <x v="5"/>
    <x v="1"/>
    <s v="OK"/>
  </r>
  <r>
    <s v="ORD0378"/>
    <x v="37"/>
    <s v="Saad Raza"/>
    <s v="Rawalpindi"/>
    <x v="5"/>
    <x v="2"/>
    <x v="1"/>
    <n v="10"/>
    <n v="2500"/>
    <n v="0.15"/>
    <n v="21250"/>
    <x v="2"/>
    <x v="0"/>
    <s v="OK"/>
  </r>
  <r>
    <s v="ORD0379"/>
    <x v="226"/>
    <s v="Bilal Ahmed"/>
    <s v="Faisalabad"/>
    <x v="0"/>
    <x v="9"/>
    <x v="0"/>
    <n v="7"/>
    <n v="30000"/>
    <n v="0.05"/>
    <n v="199500"/>
    <x v="6"/>
    <x v="2"/>
    <s v="Check Price"/>
  </r>
  <r>
    <s v="ORD0380"/>
    <x v="297"/>
    <s v="Sara Ahmed"/>
    <s v="Faisalabad"/>
    <x v="2"/>
    <x v="8"/>
    <x v="1"/>
    <n v="9"/>
    <n v="85000"/>
    <n v="0.05"/>
    <n v="726750"/>
    <x v="1"/>
    <x v="3"/>
    <s v="Check Price"/>
  </r>
  <r>
    <s v="ORD0381"/>
    <x v="298"/>
    <s v="Hina Shah"/>
    <s v="Rawalpindi"/>
    <x v="1"/>
    <x v="0"/>
    <x v="0"/>
    <n v="9"/>
    <n v="22000"/>
    <n v="0.15"/>
    <n v="168300"/>
    <x v="3"/>
    <x v="0"/>
    <s v="OK"/>
  </r>
  <r>
    <s v="ORD0382"/>
    <x v="75"/>
    <s v="Ali Khan"/>
    <s v="Hyderabad"/>
    <x v="5"/>
    <x v="8"/>
    <x v="1"/>
    <n v="6"/>
    <n v="28000"/>
    <n v="0.2"/>
    <n v="134400"/>
    <x v="8"/>
    <x v="2"/>
    <s v="Check Price"/>
  </r>
  <r>
    <s v="ORD0383"/>
    <x v="68"/>
    <s v="Hassan Ahmed"/>
    <s v="Rawalpindi"/>
    <x v="5"/>
    <x v="6"/>
    <x v="1"/>
    <n v="3"/>
    <n v="85000"/>
    <n v="0.05"/>
    <n v="242250"/>
    <x v="5"/>
    <x v="2"/>
    <s v="OK"/>
  </r>
  <r>
    <s v="ORD0384"/>
    <x v="299"/>
    <s v="Ahmed Raza"/>
    <s v="Lahore"/>
    <x v="3"/>
    <x v="2"/>
    <x v="0"/>
    <n v="9"/>
    <n v="22000"/>
    <n v="0.15"/>
    <n v="168300"/>
    <x v="2"/>
    <x v="0"/>
    <s v="Check Price"/>
  </r>
  <r>
    <s v="ORD0385"/>
    <x v="300"/>
    <s v="Ahmed Raza"/>
    <s v="Lahore"/>
    <x v="1"/>
    <x v="8"/>
    <x v="1"/>
    <n v="8"/>
    <n v="4000"/>
    <n v="0.05"/>
    <n v="30400"/>
    <x v="6"/>
    <x v="3"/>
    <s v="Check Price"/>
  </r>
  <r>
    <s v="ORD0386"/>
    <x v="105"/>
    <s v="Maham Khan"/>
    <s v="Faisalabad"/>
    <x v="5"/>
    <x v="4"/>
    <x v="1"/>
    <n v="10"/>
    <n v="2000"/>
    <n v="0.05"/>
    <n v="19000"/>
    <x v="6"/>
    <x v="3"/>
    <s v="Check Price"/>
  </r>
  <r>
    <s v="ORD0387"/>
    <x v="301"/>
    <s v="Talha Ahmed"/>
    <s v="Faisalabad"/>
    <x v="1"/>
    <x v="6"/>
    <x v="1"/>
    <n v="6"/>
    <n v="85000"/>
    <n v="0.15"/>
    <n v="433500"/>
    <x v="9"/>
    <x v="1"/>
    <s v="OK"/>
  </r>
  <r>
    <s v="ORD0388"/>
    <x v="63"/>
    <s v="Sara Ahmed"/>
    <s v="Sialkot"/>
    <x v="1"/>
    <x v="5"/>
    <x v="2"/>
    <n v="3"/>
    <n v="1200"/>
    <n v="0.05"/>
    <n v="3420"/>
    <x v="5"/>
    <x v="0"/>
    <s v="Check Price"/>
  </r>
  <r>
    <s v="ORD0389"/>
    <x v="302"/>
    <s v="Hina Shah"/>
    <s v="Sialkot"/>
    <x v="4"/>
    <x v="0"/>
    <x v="0"/>
    <n v="4"/>
    <n v="22000"/>
    <n v="0.1"/>
    <n v="79200"/>
    <x v="8"/>
    <x v="1"/>
    <s v="OK"/>
  </r>
  <r>
    <s v="ORD0390"/>
    <x v="130"/>
    <s v="Maham Khan"/>
    <s v="Multan"/>
    <x v="4"/>
    <x v="8"/>
    <x v="2"/>
    <n v="3"/>
    <n v="28000"/>
    <n v="0.05"/>
    <n v="79800"/>
    <x v="7"/>
    <x v="3"/>
    <s v="Check Price"/>
  </r>
  <r>
    <s v="ORD0391"/>
    <x v="54"/>
    <s v="Hassan Ahmed"/>
    <s v="Karachi"/>
    <x v="1"/>
    <x v="1"/>
    <x v="2"/>
    <n v="2"/>
    <n v="1500"/>
    <n v="0.2"/>
    <n v="2400"/>
    <x v="6"/>
    <x v="1"/>
    <s v="Check Price"/>
  </r>
  <r>
    <s v="ORD0392"/>
    <x v="12"/>
    <s v="Saad Raza"/>
    <s v="Rawalpindi"/>
    <x v="2"/>
    <x v="10"/>
    <x v="1"/>
    <n v="5"/>
    <n v="12000"/>
    <n v="0.15"/>
    <n v="51000"/>
    <x v="5"/>
    <x v="3"/>
    <s v="Check Price"/>
  </r>
  <r>
    <s v="ORD0393"/>
    <x v="303"/>
    <s v="Laiba Khan"/>
    <s v="Quetta"/>
    <x v="1"/>
    <x v="2"/>
    <x v="0"/>
    <n v="4"/>
    <n v="4000"/>
    <n v="0.05"/>
    <n v="15200"/>
    <x v="1"/>
    <x v="1"/>
    <s v="Check Price"/>
  </r>
  <r>
    <s v="ORD0394"/>
    <x v="304"/>
    <s v="Zain Malik"/>
    <s v="Peshawar"/>
    <x v="0"/>
    <x v="4"/>
    <x v="1"/>
    <n v="2"/>
    <n v="22000"/>
    <n v="0.2"/>
    <n v="35200"/>
    <x v="8"/>
    <x v="2"/>
    <s v="Check Price"/>
  </r>
  <r>
    <s v="ORD0395"/>
    <x v="151"/>
    <s v="Fatima Noor"/>
    <s v="Quetta"/>
    <x v="3"/>
    <x v="11"/>
    <x v="2"/>
    <n v="2"/>
    <n v="1200"/>
    <n v="0.15"/>
    <n v="2040"/>
    <x v="6"/>
    <x v="1"/>
    <s v="Check Price"/>
  </r>
  <r>
    <s v="ORD0396"/>
    <x v="305"/>
    <s v="Maham Khan"/>
    <s v="Hyderabad"/>
    <x v="3"/>
    <x v="10"/>
    <x v="2"/>
    <n v="10"/>
    <n v="1500"/>
    <n v="0.1"/>
    <n v="13500"/>
    <x v="2"/>
    <x v="1"/>
    <s v="Check Price"/>
  </r>
  <r>
    <s v="ORD0397"/>
    <x v="306"/>
    <s v="Hina Shah"/>
    <s v="Karachi"/>
    <x v="3"/>
    <x v="11"/>
    <x v="2"/>
    <n v="5"/>
    <n v="28000"/>
    <n v="0.1"/>
    <n v="126000"/>
    <x v="4"/>
    <x v="3"/>
    <s v="Check Price"/>
  </r>
  <r>
    <s v="ORD0398"/>
    <x v="121"/>
    <s v="Danish Malik"/>
    <s v="Lahore"/>
    <x v="1"/>
    <x v="5"/>
    <x v="1"/>
    <n v="9"/>
    <n v="2500"/>
    <n v="0.05"/>
    <n v="21375"/>
    <x v="0"/>
    <x v="0"/>
    <s v="Check Price"/>
  </r>
  <r>
    <s v="ORD0399"/>
    <x v="307"/>
    <s v="Maham Khan"/>
    <s v="Karachi"/>
    <x v="3"/>
    <x v="11"/>
    <x v="0"/>
    <n v="3"/>
    <n v="4000"/>
    <n v="0.2"/>
    <n v="9600"/>
    <x v="0"/>
    <x v="3"/>
    <s v="Check Price"/>
  </r>
  <r>
    <s v="ORD0400"/>
    <x v="308"/>
    <s v="Laiba Khan"/>
    <s v="Multan"/>
    <x v="3"/>
    <x v="5"/>
    <x v="1"/>
    <n v="7"/>
    <n v="28000"/>
    <n v="0.25"/>
    <n v="147000"/>
    <x v="3"/>
    <x v="0"/>
    <s v="Check Price"/>
  </r>
  <r>
    <s v="ORD0401"/>
    <x v="51"/>
    <s v="Fatima Noor"/>
    <s v="Lahore"/>
    <x v="1"/>
    <x v="5"/>
    <x v="2"/>
    <n v="2"/>
    <n v="2000"/>
    <n v="0.1"/>
    <n v="3600"/>
    <x v="9"/>
    <x v="3"/>
    <s v="OK"/>
  </r>
  <r>
    <s v="ORD0402"/>
    <x v="309"/>
    <s v="Zain Malik"/>
    <s v="Sialkot"/>
    <x v="4"/>
    <x v="2"/>
    <x v="1"/>
    <n v="1"/>
    <n v="2000"/>
    <n v="0.2"/>
    <n v="1600"/>
    <x v="2"/>
    <x v="2"/>
    <s v="Check Price"/>
  </r>
  <r>
    <s v="ORD0403"/>
    <x v="310"/>
    <s v="Mariam Noor"/>
    <s v="Lahore"/>
    <x v="1"/>
    <x v="3"/>
    <x v="2"/>
    <n v="8"/>
    <n v="1500"/>
    <n v="0.25"/>
    <n v="9000"/>
    <x v="9"/>
    <x v="2"/>
    <s v="OK"/>
  </r>
  <r>
    <s v="ORD0404"/>
    <x v="311"/>
    <s v="Sara Ahmed"/>
    <s v="Karachi"/>
    <x v="0"/>
    <x v="1"/>
    <x v="0"/>
    <n v="2"/>
    <n v="12000"/>
    <n v="0.2"/>
    <n v="19200"/>
    <x v="2"/>
    <x v="0"/>
    <s v="Check Price"/>
  </r>
  <r>
    <s v="ORD0405"/>
    <x v="312"/>
    <s v="Iqra Khan"/>
    <s v="Lahore"/>
    <x v="3"/>
    <x v="4"/>
    <x v="0"/>
    <n v="5"/>
    <n v="2500"/>
    <n v="0.1"/>
    <n v="11250"/>
    <x v="9"/>
    <x v="0"/>
    <s v="Check Price"/>
  </r>
  <r>
    <s v="ORD0406"/>
    <x v="134"/>
    <s v="Mariam Noor"/>
    <s v="Faisalabad"/>
    <x v="3"/>
    <x v="7"/>
    <x v="2"/>
    <n v="8"/>
    <n v="1500"/>
    <n v="0.25"/>
    <n v="9000"/>
    <x v="5"/>
    <x v="2"/>
    <s v="Check Price"/>
  </r>
  <r>
    <s v="ORD0407"/>
    <x v="313"/>
    <s v="Usman Khan"/>
    <s v="Quetta"/>
    <x v="3"/>
    <x v="5"/>
    <x v="0"/>
    <n v="4"/>
    <n v="1200"/>
    <n v="0.05"/>
    <n v="4560"/>
    <x v="6"/>
    <x v="3"/>
    <s v="Check Price"/>
  </r>
  <r>
    <s v="ORD0408"/>
    <x v="34"/>
    <s v="Iqra Khan"/>
    <s v="Hyderabad"/>
    <x v="0"/>
    <x v="11"/>
    <x v="0"/>
    <n v="10"/>
    <n v="30000"/>
    <n v="0.05"/>
    <n v="285000"/>
    <x v="2"/>
    <x v="1"/>
    <s v="Check Price"/>
  </r>
  <r>
    <s v="ORD0409"/>
    <x v="297"/>
    <s v="Mariam Noor"/>
    <s v="Peshawar"/>
    <x v="2"/>
    <x v="0"/>
    <x v="0"/>
    <n v="6"/>
    <n v="22000"/>
    <n v="0.05"/>
    <n v="125400"/>
    <x v="8"/>
    <x v="0"/>
    <s v="OK"/>
  </r>
  <r>
    <s v="ORD0410"/>
    <x v="314"/>
    <s v="Laiba Khan"/>
    <s v="Islamabad"/>
    <x v="4"/>
    <x v="4"/>
    <x v="0"/>
    <n v="7"/>
    <n v="22000"/>
    <n v="0.05"/>
    <n v="146300"/>
    <x v="9"/>
    <x v="3"/>
    <s v="Check Price"/>
  </r>
  <r>
    <s v="ORD0411"/>
    <x v="140"/>
    <s v="Talha Ahmed"/>
    <s v="Hyderabad"/>
    <x v="3"/>
    <x v="4"/>
    <x v="1"/>
    <n v="5"/>
    <n v="1200"/>
    <n v="0.15"/>
    <n v="5100"/>
    <x v="0"/>
    <x v="2"/>
    <s v="Check Price"/>
  </r>
  <r>
    <s v="ORD0412"/>
    <x v="152"/>
    <s v="Fatima Noor"/>
    <s v="Lahore"/>
    <x v="5"/>
    <x v="11"/>
    <x v="1"/>
    <n v="10"/>
    <n v="85000"/>
    <n v="0.15"/>
    <n v="722500"/>
    <x v="6"/>
    <x v="3"/>
    <s v="Check Price"/>
  </r>
  <r>
    <s v="ORD0413"/>
    <x v="315"/>
    <s v="Mariam Noor"/>
    <s v="Multan"/>
    <x v="2"/>
    <x v="1"/>
    <x v="2"/>
    <n v="1"/>
    <n v="85000"/>
    <n v="0.1"/>
    <n v="76500"/>
    <x v="5"/>
    <x v="3"/>
    <s v="Check Price"/>
  </r>
  <r>
    <s v="ORD0414"/>
    <x v="316"/>
    <s v="Mariam Noor"/>
    <s v="Karachi"/>
    <x v="5"/>
    <x v="0"/>
    <x v="0"/>
    <n v="4"/>
    <n v="22000"/>
    <n v="0.25"/>
    <n v="66000"/>
    <x v="2"/>
    <x v="1"/>
    <s v="OK"/>
  </r>
  <r>
    <s v="ORD0415"/>
    <x v="317"/>
    <s v="Ayesha Malik"/>
    <s v="Sialkot"/>
    <x v="1"/>
    <x v="2"/>
    <x v="1"/>
    <n v="6"/>
    <n v="1500"/>
    <n v="0.15"/>
    <n v="7650"/>
    <x v="6"/>
    <x v="3"/>
    <s v="Check Price"/>
  </r>
  <r>
    <s v="ORD0416"/>
    <x v="78"/>
    <s v="Laiba Khan"/>
    <s v="Hyderabad"/>
    <x v="3"/>
    <x v="5"/>
    <x v="2"/>
    <n v="4"/>
    <n v="22000"/>
    <n v="0.05"/>
    <n v="83600"/>
    <x v="5"/>
    <x v="0"/>
    <s v="Check Price"/>
  </r>
  <r>
    <s v="ORD0417"/>
    <x v="1"/>
    <s v="Ahmed Raza"/>
    <s v="Multan"/>
    <x v="0"/>
    <x v="11"/>
    <x v="0"/>
    <n v="2"/>
    <n v="4000"/>
    <n v="0.1"/>
    <n v="7200"/>
    <x v="9"/>
    <x v="3"/>
    <s v="Check Price"/>
  </r>
  <r>
    <s v="ORD0418"/>
    <x v="318"/>
    <s v="Bilal Ahmed"/>
    <s v="Karachi"/>
    <x v="4"/>
    <x v="7"/>
    <x v="2"/>
    <n v="3"/>
    <n v="5000"/>
    <n v="0.1"/>
    <n v="13500"/>
    <x v="7"/>
    <x v="2"/>
    <s v="Check Price"/>
  </r>
  <r>
    <s v="ORD0419"/>
    <x v="111"/>
    <s v="Maham Khan"/>
    <s v="Sialkot"/>
    <x v="0"/>
    <x v="6"/>
    <x v="1"/>
    <n v="9"/>
    <n v="85000"/>
    <n v="0.2"/>
    <n v="612000"/>
    <x v="4"/>
    <x v="0"/>
    <s v="OK"/>
  </r>
  <r>
    <s v="ORD0420"/>
    <x v="51"/>
    <s v="Usman Khan"/>
    <s v="Lahore"/>
    <x v="1"/>
    <x v="1"/>
    <x v="1"/>
    <n v="1"/>
    <n v="28000"/>
    <n v="0.15"/>
    <n v="23800"/>
    <x v="7"/>
    <x v="1"/>
    <s v="Check Price"/>
  </r>
  <r>
    <s v="ORD0421"/>
    <x v="319"/>
    <s v="Saad Raza"/>
    <s v="Islamabad"/>
    <x v="2"/>
    <x v="10"/>
    <x v="0"/>
    <n v="10"/>
    <n v="5000"/>
    <n v="0.1"/>
    <n v="45000"/>
    <x v="6"/>
    <x v="3"/>
    <s v="Check Price"/>
  </r>
  <r>
    <s v="ORD0422"/>
    <x v="320"/>
    <s v="Hina Shah"/>
    <s v="Faisalabad"/>
    <x v="0"/>
    <x v="7"/>
    <x v="1"/>
    <n v="7"/>
    <n v="5000"/>
    <n v="0.05"/>
    <n v="33250"/>
    <x v="7"/>
    <x v="1"/>
    <s v="Check Price"/>
  </r>
  <r>
    <s v="ORD0423"/>
    <x v="246"/>
    <s v="Saad Raza"/>
    <s v="Peshawar"/>
    <x v="4"/>
    <x v="11"/>
    <x v="1"/>
    <n v="5"/>
    <n v="2500"/>
    <n v="0.1"/>
    <n v="11250"/>
    <x v="7"/>
    <x v="3"/>
    <s v="Check Price"/>
  </r>
  <r>
    <s v="ORD0424"/>
    <x v="321"/>
    <s v="Hassan Ahmed"/>
    <s v="Lahore"/>
    <x v="0"/>
    <x v="5"/>
    <x v="1"/>
    <n v="6"/>
    <n v="28000"/>
    <n v="0.2"/>
    <n v="134400"/>
    <x v="1"/>
    <x v="0"/>
    <s v="Check Price"/>
  </r>
  <r>
    <s v="ORD0425"/>
    <x v="322"/>
    <s v="Talha Ahmed"/>
    <s v="Hyderabad"/>
    <x v="3"/>
    <x v="4"/>
    <x v="2"/>
    <n v="5"/>
    <n v="5000"/>
    <n v="0.15"/>
    <n v="21250"/>
    <x v="9"/>
    <x v="0"/>
    <s v="Check Price"/>
  </r>
  <r>
    <s v="ORD0426"/>
    <x v="323"/>
    <s v="Hassan Ahmed"/>
    <s v="Sialkot"/>
    <x v="4"/>
    <x v="3"/>
    <x v="2"/>
    <n v="2"/>
    <n v="1500"/>
    <n v="0.05"/>
    <n v="2850"/>
    <x v="3"/>
    <x v="3"/>
    <s v="OK"/>
  </r>
  <r>
    <s v="ORD0427"/>
    <x v="324"/>
    <s v="Owais Raza"/>
    <s v="Peshawar"/>
    <x v="0"/>
    <x v="6"/>
    <x v="1"/>
    <n v="8"/>
    <n v="85000"/>
    <n v="0.15"/>
    <n v="578000"/>
    <x v="9"/>
    <x v="1"/>
    <s v="OK"/>
  </r>
  <r>
    <s v="ORD0428"/>
    <x v="89"/>
    <s v="Laiba Khan"/>
    <s v="Sialkot"/>
    <x v="4"/>
    <x v="1"/>
    <x v="2"/>
    <n v="6"/>
    <n v="85000"/>
    <n v="0.05"/>
    <n v="484500"/>
    <x v="1"/>
    <x v="2"/>
    <s v="Check Price"/>
  </r>
  <r>
    <s v="ORD0429"/>
    <x v="24"/>
    <s v="Owais Raza"/>
    <s v="Islamabad"/>
    <x v="5"/>
    <x v="0"/>
    <x v="0"/>
    <n v="4"/>
    <n v="22000"/>
    <n v="0.1"/>
    <n v="79200"/>
    <x v="5"/>
    <x v="2"/>
    <s v="OK"/>
  </r>
  <r>
    <s v="ORD0430"/>
    <x v="325"/>
    <s v="Iqra Khan"/>
    <s v="Multan"/>
    <x v="1"/>
    <x v="7"/>
    <x v="0"/>
    <n v="6"/>
    <n v="5000"/>
    <n v="0.25"/>
    <n v="22500"/>
    <x v="9"/>
    <x v="3"/>
    <s v="Check Price"/>
  </r>
  <r>
    <s v="ORD0431"/>
    <x v="326"/>
    <s v="Talha Ahmed"/>
    <s v="Peshawar"/>
    <x v="2"/>
    <x v="8"/>
    <x v="0"/>
    <n v="10"/>
    <n v="28000"/>
    <n v="0.05"/>
    <n v="266000"/>
    <x v="3"/>
    <x v="3"/>
    <s v="Check Price"/>
  </r>
  <r>
    <s v="ORD0432"/>
    <x v="327"/>
    <s v="Hina Shah"/>
    <s v="Karachi"/>
    <x v="2"/>
    <x v="5"/>
    <x v="2"/>
    <n v="3"/>
    <n v="2500"/>
    <n v="0.2"/>
    <n v="6000"/>
    <x v="7"/>
    <x v="1"/>
    <s v="Check Price"/>
  </r>
  <r>
    <s v="ORD0433"/>
    <x v="67"/>
    <s v="Owais Raza"/>
    <s v="Karachi"/>
    <x v="5"/>
    <x v="5"/>
    <x v="0"/>
    <n v="2"/>
    <n v="85000"/>
    <n v="0.15"/>
    <n v="144500"/>
    <x v="9"/>
    <x v="3"/>
    <s v="Check Price"/>
  </r>
  <r>
    <s v="ORD0434"/>
    <x v="164"/>
    <s v="Owais Raza"/>
    <s v="Peshawar"/>
    <x v="5"/>
    <x v="6"/>
    <x v="1"/>
    <n v="3"/>
    <n v="85000"/>
    <n v="0.1"/>
    <n v="229500"/>
    <x v="7"/>
    <x v="0"/>
    <s v="OK"/>
  </r>
  <r>
    <s v="ORD0435"/>
    <x v="328"/>
    <s v="Talha Ahmed"/>
    <s v="Rawalpindi"/>
    <x v="4"/>
    <x v="2"/>
    <x v="1"/>
    <n v="6"/>
    <n v="4000"/>
    <n v="0.1"/>
    <n v="21600"/>
    <x v="3"/>
    <x v="1"/>
    <s v="Check Price"/>
  </r>
  <r>
    <s v="ORD0436"/>
    <x v="329"/>
    <s v="Bilal Ahmed"/>
    <s v="Peshawar"/>
    <x v="5"/>
    <x v="3"/>
    <x v="2"/>
    <n v="6"/>
    <n v="1500"/>
    <n v="0.15"/>
    <n v="7650"/>
    <x v="9"/>
    <x v="2"/>
    <s v="OK"/>
  </r>
  <r>
    <s v="ORD0437"/>
    <x v="330"/>
    <s v="Sana Ali"/>
    <s v="Faisalabad"/>
    <x v="0"/>
    <x v="2"/>
    <x v="2"/>
    <n v="9"/>
    <n v="1200"/>
    <n v="0.05"/>
    <n v="10260"/>
    <x v="4"/>
    <x v="1"/>
    <s v="Check Price"/>
  </r>
  <r>
    <s v="ORD0438"/>
    <x v="331"/>
    <s v="Hassan Ahmed"/>
    <s v="Lahore"/>
    <x v="0"/>
    <x v="10"/>
    <x v="2"/>
    <n v="10"/>
    <n v="350"/>
    <n v="0.1"/>
    <n v="3150"/>
    <x v="9"/>
    <x v="0"/>
    <s v="Check Price"/>
  </r>
  <r>
    <s v="ORD0439"/>
    <x v="332"/>
    <s v="Hamza Ali"/>
    <s v="Peshawar"/>
    <x v="0"/>
    <x v="2"/>
    <x v="1"/>
    <n v="5"/>
    <n v="28000"/>
    <n v="0.05"/>
    <n v="133000"/>
    <x v="9"/>
    <x v="0"/>
    <s v="Check Price"/>
  </r>
  <r>
    <s v="ORD0440"/>
    <x v="216"/>
    <s v="Sara Ahmed"/>
    <s v="Multan"/>
    <x v="3"/>
    <x v="4"/>
    <x v="0"/>
    <n v="5"/>
    <n v="85000"/>
    <n v="0.05"/>
    <n v="403750"/>
    <x v="0"/>
    <x v="0"/>
    <s v="Check Price"/>
  </r>
  <r>
    <s v="ORD0441"/>
    <x v="117"/>
    <s v="Sara Ahmed"/>
    <s v="Faisalabad"/>
    <x v="2"/>
    <x v="3"/>
    <x v="2"/>
    <n v="2"/>
    <n v="1500"/>
    <n v="0.2"/>
    <n v="2400"/>
    <x v="1"/>
    <x v="3"/>
    <s v="OK"/>
  </r>
  <r>
    <s v="ORD0442"/>
    <x v="333"/>
    <s v="Mariam Noor"/>
    <s v="Quetta"/>
    <x v="3"/>
    <x v="5"/>
    <x v="0"/>
    <n v="1"/>
    <n v="12000"/>
    <n v="0.1"/>
    <n v="10800"/>
    <x v="9"/>
    <x v="0"/>
    <s v="Check Price"/>
  </r>
  <r>
    <s v="ORD0443"/>
    <x v="334"/>
    <s v="Talha Ahmed"/>
    <s v="Quetta"/>
    <x v="2"/>
    <x v="1"/>
    <x v="2"/>
    <n v="10"/>
    <n v="30000"/>
    <n v="0.2"/>
    <n v="240000"/>
    <x v="1"/>
    <x v="2"/>
    <s v="Check Price"/>
  </r>
  <r>
    <s v="ORD0444"/>
    <x v="335"/>
    <s v="Saad Raza"/>
    <s v="Karachi"/>
    <x v="0"/>
    <x v="8"/>
    <x v="1"/>
    <n v="7"/>
    <n v="30000"/>
    <n v="0.25"/>
    <n v="157500"/>
    <x v="4"/>
    <x v="0"/>
    <s v="Check Price"/>
  </r>
  <r>
    <s v="ORD0445"/>
    <x v="336"/>
    <s v="Saad Raza"/>
    <s v="Peshawar"/>
    <x v="3"/>
    <x v="8"/>
    <x v="2"/>
    <n v="8"/>
    <n v="350"/>
    <n v="0.05"/>
    <n v="2660"/>
    <x v="2"/>
    <x v="1"/>
    <s v="Check Price"/>
  </r>
  <r>
    <s v="ORD0446"/>
    <x v="226"/>
    <s v="Ayesha Malik"/>
    <s v="Sialkot"/>
    <x v="0"/>
    <x v="6"/>
    <x v="1"/>
    <n v="10"/>
    <n v="85000"/>
    <n v="0.1"/>
    <n v="765000"/>
    <x v="0"/>
    <x v="0"/>
    <s v="OK"/>
  </r>
  <r>
    <s v="ORD0447"/>
    <x v="199"/>
    <s v="Talha Ahmed"/>
    <s v="Multan"/>
    <x v="4"/>
    <x v="0"/>
    <x v="0"/>
    <n v="4"/>
    <n v="22000"/>
    <n v="0.25"/>
    <n v="66000"/>
    <x v="6"/>
    <x v="1"/>
    <s v="OK"/>
  </r>
  <r>
    <s v="ORD0448"/>
    <x v="185"/>
    <s v="Hamza Ali"/>
    <s v="Rawalpindi"/>
    <x v="1"/>
    <x v="4"/>
    <x v="1"/>
    <n v="7"/>
    <n v="1500"/>
    <n v="0.2"/>
    <n v="8400"/>
    <x v="5"/>
    <x v="2"/>
    <s v="Check Price"/>
  </r>
  <r>
    <s v="ORD0449"/>
    <x v="210"/>
    <s v="Usman Khan"/>
    <s v="Lahore"/>
    <x v="4"/>
    <x v="2"/>
    <x v="2"/>
    <n v="3"/>
    <n v="2000"/>
    <n v="0.25"/>
    <n v="4500"/>
    <x v="4"/>
    <x v="0"/>
    <s v="Check Price"/>
  </r>
  <r>
    <s v="ORD0450"/>
    <x v="109"/>
    <s v="Saad Raza"/>
    <s v="Karachi"/>
    <x v="1"/>
    <x v="7"/>
    <x v="1"/>
    <n v="8"/>
    <n v="1200"/>
    <n v="0.05"/>
    <n v="9120"/>
    <x v="5"/>
    <x v="3"/>
    <s v="Check Price"/>
  </r>
  <r>
    <s v="ORD0451"/>
    <x v="337"/>
    <s v="Hassan Ahmed"/>
    <s v="Faisalabad"/>
    <x v="5"/>
    <x v="5"/>
    <x v="0"/>
    <n v="6"/>
    <n v="22000"/>
    <n v="0.15"/>
    <n v="112200"/>
    <x v="5"/>
    <x v="3"/>
    <s v="Check Price"/>
  </r>
  <r>
    <s v="ORD0452"/>
    <x v="97"/>
    <s v="Danish Malik"/>
    <s v="Quetta"/>
    <x v="2"/>
    <x v="1"/>
    <x v="1"/>
    <n v="10"/>
    <n v="5000"/>
    <n v="0.05"/>
    <n v="47500"/>
    <x v="5"/>
    <x v="1"/>
    <s v="Check Price"/>
  </r>
  <r>
    <s v="ORD0453"/>
    <x v="28"/>
    <s v="Danish Malik"/>
    <s v="Sialkot"/>
    <x v="1"/>
    <x v="11"/>
    <x v="0"/>
    <n v="5"/>
    <n v="2000"/>
    <n v="0.1"/>
    <n v="9000"/>
    <x v="5"/>
    <x v="2"/>
    <s v="Check Price"/>
  </r>
  <r>
    <s v="ORD0454"/>
    <x v="131"/>
    <s v="Laiba Khan"/>
    <s v="Rawalpindi"/>
    <x v="3"/>
    <x v="9"/>
    <x v="1"/>
    <n v="6"/>
    <n v="12000"/>
    <n v="0.15"/>
    <n v="61200"/>
    <x v="1"/>
    <x v="1"/>
    <s v="Check Price"/>
  </r>
  <r>
    <s v="ORD0455"/>
    <x v="338"/>
    <s v="Bilal Ahmed"/>
    <s v="Sialkot"/>
    <x v="3"/>
    <x v="6"/>
    <x v="1"/>
    <n v="5"/>
    <n v="85000"/>
    <n v="0.15"/>
    <n v="361250"/>
    <x v="0"/>
    <x v="0"/>
    <s v="OK"/>
  </r>
  <r>
    <s v="ORD0456"/>
    <x v="339"/>
    <s v="Maham Khan"/>
    <s v="Rawalpindi"/>
    <x v="0"/>
    <x v="5"/>
    <x v="2"/>
    <n v="10"/>
    <n v="28000"/>
    <n v="0.05"/>
    <n v="266000"/>
    <x v="2"/>
    <x v="1"/>
    <s v="Check Price"/>
  </r>
  <r>
    <s v="ORD0457"/>
    <x v="178"/>
    <s v="Ayesha Malik"/>
    <s v="Lahore"/>
    <x v="3"/>
    <x v="3"/>
    <x v="2"/>
    <n v="10"/>
    <n v="1500"/>
    <n v="0.05"/>
    <n v="14250"/>
    <x v="3"/>
    <x v="1"/>
    <s v="OK"/>
  </r>
  <r>
    <s v="ORD0458"/>
    <x v="340"/>
    <s v="Bilal Ahmed"/>
    <s v="Multan"/>
    <x v="0"/>
    <x v="1"/>
    <x v="0"/>
    <n v="6"/>
    <n v="4000"/>
    <n v="0.1"/>
    <n v="21600"/>
    <x v="8"/>
    <x v="0"/>
    <s v="OK"/>
  </r>
  <r>
    <s v="ORD0459"/>
    <x v="341"/>
    <s v="Ahmed Raza"/>
    <s v="Lahore"/>
    <x v="3"/>
    <x v="9"/>
    <x v="0"/>
    <n v="1"/>
    <n v="22000"/>
    <n v="0.05"/>
    <n v="20900"/>
    <x v="8"/>
    <x v="3"/>
    <s v="Check Price"/>
  </r>
  <r>
    <s v="ORD0460"/>
    <x v="203"/>
    <s v="Zain Malik"/>
    <s v="Karachi"/>
    <x v="2"/>
    <x v="4"/>
    <x v="2"/>
    <n v="9"/>
    <n v="12000"/>
    <n v="0.25"/>
    <n v="81000"/>
    <x v="2"/>
    <x v="3"/>
    <s v="Check Price"/>
  </r>
  <r>
    <s v="ORD0461"/>
    <x v="342"/>
    <s v="Usman Khan"/>
    <s v="Sialkot"/>
    <x v="5"/>
    <x v="0"/>
    <x v="0"/>
    <n v="9"/>
    <n v="22000"/>
    <n v="0.25"/>
    <n v="148500"/>
    <x v="5"/>
    <x v="3"/>
    <s v="OK"/>
  </r>
  <r>
    <s v="ORD0462"/>
    <x v="343"/>
    <s v="Zain Malik"/>
    <s v="Karachi"/>
    <x v="3"/>
    <x v="3"/>
    <x v="2"/>
    <n v="6"/>
    <n v="1500"/>
    <n v="0.1"/>
    <n v="8100"/>
    <x v="3"/>
    <x v="2"/>
    <s v="OK"/>
  </r>
  <r>
    <s v="ORD0463"/>
    <x v="127"/>
    <s v="Hina Shah"/>
    <s v="Lahore"/>
    <x v="3"/>
    <x v="0"/>
    <x v="0"/>
    <n v="7"/>
    <n v="22000"/>
    <n v="0.05"/>
    <n v="146300"/>
    <x v="7"/>
    <x v="1"/>
    <s v="OK"/>
  </r>
  <r>
    <s v="ORD0464"/>
    <x v="344"/>
    <s v="Ahmed Raza"/>
    <s v="Multan"/>
    <x v="4"/>
    <x v="0"/>
    <x v="0"/>
    <n v="3"/>
    <n v="22000"/>
    <n v="0.05"/>
    <n v="62700"/>
    <x v="7"/>
    <x v="0"/>
    <s v="OK"/>
  </r>
  <r>
    <s v="ORD0465"/>
    <x v="345"/>
    <s v="Ali Khan"/>
    <s v="Sialkot"/>
    <x v="4"/>
    <x v="5"/>
    <x v="1"/>
    <n v="4"/>
    <n v="22000"/>
    <n v="0.25"/>
    <n v="66000"/>
    <x v="2"/>
    <x v="3"/>
    <s v="Check Price"/>
  </r>
  <r>
    <s v="ORD0466"/>
    <x v="346"/>
    <s v="Hina Shah"/>
    <s v="Faisalabad"/>
    <x v="3"/>
    <x v="4"/>
    <x v="0"/>
    <n v="7"/>
    <n v="30000"/>
    <n v="0.05"/>
    <n v="199500"/>
    <x v="6"/>
    <x v="0"/>
    <s v="OK"/>
  </r>
  <r>
    <s v="ORD0467"/>
    <x v="347"/>
    <s v="Danish Malik"/>
    <s v="Lahore"/>
    <x v="5"/>
    <x v="4"/>
    <x v="2"/>
    <n v="9"/>
    <n v="2500"/>
    <n v="0.05"/>
    <n v="21375"/>
    <x v="6"/>
    <x v="3"/>
    <s v="Check Price"/>
  </r>
  <r>
    <s v="ORD0468"/>
    <x v="348"/>
    <s v="Ahmed Raza"/>
    <s v="Karachi"/>
    <x v="5"/>
    <x v="11"/>
    <x v="1"/>
    <n v="5"/>
    <n v="2000"/>
    <n v="0.1"/>
    <n v="9000"/>
    <x v="0"/>
    <x v="0"/>
    <s v="Check Price"/>
  </r>
  <r>
    <s v="ORD0469"/>
    <x v="349"/>
    <s v="Laiba Khan"/>
    <s v="Karachi"/>
    <x v="2"/>
    <x v="6"/>
    <x v="1"/>
    <n v="5"/>
    <n v="85000"/>
    <n v="0.25"/>
    <n v="318750"/>
    <x v="8"/>
    <x v="0"/>
    <s v="OK"/>
  </r>
  <r>
    <s v="ORD0470"/>
    <x v="350"/>
    <s v="Laiba Khan"/>
    <s v="Peshawar"/>
    <x v="0"/>
    <x v="6"/>
    <x v="1"/>
    <n v="2"/>
    <n v="85000"/>
    <n v="0.05"/>
    <n v="161500"/>
    <x v="0"/>
    <x v="2"/>
    <s v="OK"/>
  </r>
  <r>
    <s v="ORD0471"/>
    <x v="1"/>
    <s v="Hassan Ahmed"/>
    <s v="Sialkot"/>
    <x v="5"/>
    <x v="6"/>
    <x v="1"/>
    <n v="4"/>
    <n v="85000"/>
    <n v="0.15"/>
    <n v="289000"/>
    <x v="9"/>
    <x v="2"/>
    <s v="OK"/>
  </r>
  <r>
    <s v="ORD0472"/>
    <x v="351"/>
    <s v="Danish Malik"/>
    <s v="Karachi"/>
    <x v="5"/>
    <x v="2"/>
    <x v="0"/>
    <n v="10"/>
    <n v="2500"/>
    <n v="0.05"/>
    <n v="23750"/>
    <x v="7"/>
    <x v="1"/>
    <s v="OK"/>
  </r>
  <r>
    <s v="ORD0473"/>
    <x v="352"/>
    <s v="Mariam Noor"/>
    <s v="Faisalabad"/>
    <x v="0"/>
    <x v="3"/>
    <x v="2"/>
    <n v="1"/>
    <n v="1500"/>
    <n v="0.2"/>
    <n v="1200"/>
    <x v="5"/>
    <x v="3"/>
    <s v="OK"/>
  </r>
  <r>
    <s v="ORD0474"/>
    <x v="161"/>
    <s v="Usman Khan"/>
    <s v="Multan"/>
    <x v="1"/>
    <x v="10"/>
    <x v="0"/>
    <n v="2"/>
    <n v="28000"/>
    <n v="0.1"/>
    <n v="50400"/>
    <x v="6"/>
    <x v="3"/>
    <s v="Check Price"/>
  </r>
  <r>
    <s v="ORD0475"/>
    <x v="92"/>
    <s v="Bilal Ahmed"/>
    <s v="Lahore"/>
    <x v="5"/>
    <x v="9"/>
    <x v="0"/>
    <n v="6"/>
    <n v="22000"/>
    <n v="0.2"/>
    <n v="105600"/>
    <x v="0"/>
    <x v="2"/>
    <s v="Check Price"/>
  </r>
  <r>
    <s v="ORD0476"/>
    <x v="107"/>
    <s v="Ali Khan"/>
    <s v="Hyderabad"/>
    <x v="0"/>
    <x v="2"/>
    <x v="1"/>
    <n v="4"/>
    <n v="12000"/>
    <n v="0.2"/>
    <n v="38400"/>
    <x v="2"/>
    <x v="0"/>
    <s v="Check Price"/>
  </r>
  <r>
    <s v="ORD0477"/>
    <x v="353"/>
    <s v="Iqra Khan"/>
    <s v="Lahore"/>
    <x v="2"/>
    <x v="8"/>
    <x v="0"/>
    <n v="3"/>
    <n v="12000"/>
    <n v="0.05"/>
    <n v="34200"/>
    <x v="7"/>
    <x v="2"/>
    <s v="Check Price"/>
  </r>
  <r>
    <s v="ORD0478"/>
    <x v="35"/>
    <s v="Saad Raza"/>
    <s v="Faisalabad"/>
    <x v="5"/>
    <x v="2"/>
    <x v="2"/>
    <n v="8"/>
    <n v="22000"/>
    <n v="0.1"/>
    <n v="158400"/>
    <x v="0"/>
    <x v="2"/>
    <s v="Check Price"/>
  </r>
  <r>
    <s v="ORD0479"/>
    <x v="169"/>
    <s v="Iqra Khan"/>
    <s v="Peshawar"/>
    <x v="4"/>
    <x v="6"/>
    <x v="1"/>
    <n v="1"/>
    <n v="85000"/>
    <n v="0.25"/>
    <n v="63750"/>
    <x v="1"/>
    <x v="0"/>
    <s v="OK"/>
  </r>
  <r>
    <s v="ORD0480"/>
    <x v="64"/>
    <s v="Ahmed Raza"/>
    <s v="Islamabad"/>
    <x v="5"/>
    <x v="1"/>
    <x v="2"/>
    <n v="8"/>
    <n v="2500"/>
    <n v="0.2"/>
    <n v="16000"/>
    <x v="9"/>
    <x v="2"/>
    <s v="Check Price"/>
  </r>
  <r>
    <s v="ORD0481"/>
    <x v="30"/>
    <s v="Saad Raza"/>
    <s v="Hyderabad"/>
    <x v="5"/>
    <x v="6"/>
    <x v="1"/>
    <n v="4"/>
    <n v="85000"/>
    <n v="0.2"/>
    <n v="272000"/>
    <x v="6"/>
    <x v="3"/>
    <s v="OK"/>
  </r>
  <r>
    <s v="ORD0482"/>
    <x v="354"/>
    <s v="Owais Raza"/>
    <s v="Multan"/>
    <x v="0"/>
    <x v="1"/>
    <x v="0"/>
    <n v="3"/>
    <n v="4000"/>
    <n v="0.05"/>
    <n v="11400"/>
    <x v="8"/>
    <x v="0"/>
    <s v="OK"/>
  </r>
  <r>
    <s v="ORD0483"/>
    <x v="355"/>
    <s v="Fatima Noor"/>
    <s v="Quetta"/>
    <x v="3"/>
    <x v="2"/>
    <x v="0"/>
    <n v="9"/>
    <n v="28000"/>
    <n v="0.1"/>
    <n v="226800"/>
    <x v="7"/>
    <x v="3"/>
    <s v="Check Price"/>
  </r>
  <r>
    <s v="ORD0484"/>
    <x v="356"/>
    <s v="Saad Raza"/>
    <s v="Rawalpindi"/>
    <x v="2"/>
    <x v="4"/>
    <x v="2"/>
    <n v="6"/>
    <n v="1500"/>
    <n v="0.1"/>
    <n v="8100"/>
    <x v="2"/>
    <x v="3"/>
    <s v="Check Price"/>
  </r>
  <r>
    <s v="ORD0485"/>
    <x v="357"/>
    <s v="Usman Khan"/>
    <s v="Islamabad"/>
    <x v="1"/>
    <x v="6"/>
    <x v="1"/>
    <n v="2"/>
    <n v="85000"/>
    <n v="0.25"/>
    <n v="127500"/>
    <x v="2"/>
    <x v="0"/>
    <s v="OK"/>
  </r>
  <r>
    <s v="ORD0486"/>
    <x v="358"/>
    <s v="Laiba Khan"/>
    <s v="Peshawar"/>
    <x v="1"/>
    <x v="7"/>
    <x v="0"/>
    <n v="7"/>
    <n v="1200"/>
    <n v="0.05"/>
    <n v="7980"/>
    <x v="9"/>
    <x v="3"/>
    <s v="Check Price"/>
  </r>
  <r>
    <s v="ORD0487"/>
    <x v="359"/>
    <s v="Sana Ali"/>
    <s v="Faisalabad"/>
    <x v="4"/>
    <x v="1"/>
    <x v="2"/>
    <n v="9"/>
    <n v="12000"/>
    <n v="0.15"/>
    <n v="91800"/>
    <x v="0"/>
    <x v="3"/>
    <s v="Check Price"/>
  </r>
  <r>
    <s v="ORD0488"/>
    <x v="360"/>
    <s v="Ahmed Raza"/>
    <s v="Rawalpindi"/>
    <x v="1"/>
    <x v="1"/>
    <x v="1"/>
    <n v="9"/>
    <n v="5000"/>
    <n v="0.15"/>
    <n v="38250"/>
    <x v="3"/>
    <x v="1"/>
    <s v="Check Price"/>
  </r>
  <r>
    <s v="ORD0489"/>
    <x v="290"/>
    <s v="Zain Malik"/>
    <s v="Karachi"/>
    <x v="5"/>
    <x v="6"/>
    <x v="1"/>
    <n v="3"/>
    <n v="85000"/>
    <n v="0.25"/>
    <n v="191250"/>
    <x v="1"/>
    <x v="2"/>
    <s v="OK"/>
  </r>
  <r>
    <s v="ORD0490"/>
    <x v="361"/>
    <s v="Danish Malik"/>
    <s v="Peshawar"/>
    <x v="5"/>
    <x v="11"/>
    <x v="0"/>
    <n v="4"/>
    <n v="2500"/>
    <n v="0.1"/>
    <n v="9000"/>
    <x v="7"/>
    <x v="0"/>
    <s v="Check Price"/>
  </r>
  <r>
    <s v="ORD0491"/>
    <x v="152"/>
    <s v="Danish Malik"/>
    <s v="Lahore"/>
    <x v="3"/>
    <x v="0"/>
    <x v="0"/>
    <n v="9"/>
    <n v="22000"/>
    <n v="0.05"/>
    <n v="188100"/>
    <x v="2"/>
    <x v="1"/>
    <s v="OK"/>
  </r>
  <r>
    <s v="ORD0492"/>
    <x v="362"/>
    <s v="Sara Ahmed"/>
    <s v="Karachi"/>
    <x v="2"/>
    <x v="8"/>
    <x v="2"/>
    <n v="2"/>
    <n v="2500"/>
    <n v="0.1"/>
    <n v="4500"/>
    <x v="5"/>
    <x v="2"/>
    <s v="Check Price"/>
  </r>
  <r>
    <s v="ORD0493"/>
    <x v="363"/>
    <s v="Ali Khan"/>
    <s v="Rawalpindi"/>
    <x v="3"/>
    <x v="2"/>
    <x v="1"/>
    <n v="2"/>
    <n v="22000"/>
    <n v="0.05"/>
    <n v="41800"/>
    <x v="9"/>
    <x v="0"/>
    <s v="Check Price"/>
  </r>
  <r>
    <s v="ORD0494"/>
    <x v="210"/>
    <s v="Hassan Ahmed"/>
    <s v="Karachi"/>
    <x v="3"/>
    <x v="5"/>
    <x v="1"/>
    <n v="4"/>
    <n v="2500"/>
    <n v="0.1"/>
    <n v="9000"/>
    <x v="0"/>
    <x v="3"/>
    <s v="Check Price"/>
  </r>
  <r>
    <s v="ORD0495"/>
    <x v="324"/>
    <s v="Danish Malik"/>
    <s v="Multan"/>
    <x v="2"/>
    <x v="7"/>
    <x v="2"/>
    <n v="7"/>
    <n v="2500"/>
    <n v="0.05"/>
    <n v="16625"/>
    <x v="0"/>
    <x v="3"/>
    <s v="Check Price"/>
  </r>
  <r>
    <s v="ORD0496"/>
    <x v="5"/>
    <s v="Talha Ahmed"/>
    <s v="Hyderabad"/>
    <x v="2"/>
    <x v="3"/>
    <x v="2"/>
    <n v="10"/>
    <n v="1500"/>
    <n v="0.1"/>
    <n v="13500"/>
    <x v="7"/>
    <x v="2"/>
    <s v="OK"/>
  </r>
  <r>
    <s v="ORD0497"/>
    <x v="364"/>
    <s v="Ahmed Raza"/>
    <s v="Sialkot"/>
    <x v="4"/>
    <x v="0"/>
    <x v="0"/>
    <n v="6"/>
    <n v="22000"/>
    <n v="0.05"/>
    <n v="125400"/>
    <x v="3"/>
    <x v="3"/>
    <s v="OK"/>
  </r>
  <r>
    <s v="ORD0498"/>
    <x v="95"/>
    <s v="Hamza Ali"/>
    <s v="Peshawar"/>
    <x v="5"/>
    <x v="7"/>
    <x v="0"/>
    <n v="7"/>
    <n v="22000"/>
    <n v="0.15"/>
    <n v="130900"/>
    <x v="6"/>
    <x v="3"/>
    <s v="Check Price"/>
  </r>
  <r>
    <s v="ORD0499"/>
    <x v="156"/>
    <s v="Hassan Ahmed"/>
    <s v="Quetta"/>
    <x v="2"/>
    <x v="3"/>
    <x v="2"/>
    <n v="9"/>
    <n v="1500"/>
    <n v="0.05"/>
    <n v="12825"/>
    <x v="1"/>
    <x v="1"/>
    <s v="OK"/>
  </r>
  <r>
    <s v="ORD0500"/>
    <x v="365"/>
    <s v="Ali Khan"/>
    <s v="Hyderabad"/>
    <x v="1"/>
    <x v="0"/>
    <x v="0"/>
    <n v="3"/>
    <n v="22000"/>
    <n v="0.15"/>
    <n v="56100"/>
    <x v="6"/>
    <x v="1"/>
    <s v="OK"/>
  </r>
  <r>
    <s v="ORD0501"/>
    <x v="366"/>
    <s v="Talha Ahmed"/>
    <s v="Islamabad"/>
    <x v="2"/>
    <x v="0"/>
    <x v="0"/>
    <n v="8"/>
    <n v="22000"/>
    <n v="0.25"/>
    <n v="132000"/>
    <x v="9"/>
    <x v="0"/>
    <s v="OK"/>
  </r>
  <r>
    <s v="ORD0502"/>
    <x v="183"/>
    <s v="Sara Ahmed"/>
    <s v="Peshawar"/>
    <x v="0"/>
    <x v="3"/>
    <x v="2"/>
    <n v="5"/>
    <n v="1500"/>
    <n v="0.05"/>
    <n v="7125"/>
    <x v="1"/>
    <x v="3"/>
    <s v="OK"/>
  </r>
  <r>
    <s v="ORD0503"/>
    <x v="367"/>
    <s v="Owais Raza"/>
    <s v="Multan"/>
    <x v="0"/>
    <x v="10"/>
    <x v="0"/>
    <n v="4"/>
    <n v="28000"/>
    <n v="0.1"/>
    <n v="100800"/>
    <x v="8"/>
    <x v="2"/>
    <s v="Check Price"/>
  </r>
  <r>
    <s v="ORD0504"/>
    <x v="13"/>
    <s v="Fatima Noor"/>
    <s v="Peshawar"/>
    <x v="2"/>
    <x v="11"/>
    <x v="0"/>
    <n v="3"/>
    <n v="1500"/>
    <n v="0.1"/>
    <n v="4050"/>
    <x v="8"/>
    <x v="1"/>
    <s v="Check Price"/>
  </r>
  <r>
    <s v="ORD0505"/>
    <x v="368"/>
    <s v="Fatima Noor"/>
    <s v="Faisalabad"/>
    <x v="5"/>
    <x v="6"/>
    <x v="1"/>
    <n v="9"/>
    <n v="85000"/>
    <n v="0.2"/>
    <n v="612000"/>
    <x v="7"/>
    <x v="2"/>
    <s v="OK"/>
  </r>
  <r>
    <s v="ORD0506"/>
    <x v="26"/>
    <s v="Talha Ahmed"/>
    <s v="Islamabad"/>
    <x v="0"/>
    <x v="8"/>
    <x v="0"/>
    <n v="2"/>
    <n v="5000"/>
    <n v="0.1"/>
    <n v="9000"/>
    <x v="5"/>
    <x v="3"/>
    <s v="OK"/>
  </r>
  <r>
    <s v="ORD0507"/>
    <x v="297"/>
    <s v="Danish Malik"/>
    <s v="Faisalabad"/>
    <x v="4"/>
    <x v="3"/>
    <x v="2"/>
    <n v="3"/>
    <n v="1500"/>
    <n v="0.2"/>
    <n v="3600"/>
    <x v="1"/>
    <x v="2"/>
    <s v="OK"/>
  </r>
  <r>
    <s v="ORD0508"/>
    <x v="369"/>
    <s v="Sana Ali"/>
    <s v="Quetta"/>
    <x v="3"/>
    <x v="11"/>
    <x v="1"/>
    <n v="3"/>
    <n v="28000"/>
    <n v="0.25"/>
    <n v="63000"/>
    <x v="3"/>
    <x v="2"/>
    <s v="Check Price"/>
  </r>
  <r>
    <s v="ORD0509"/>
    <x v="370"/>
    <s v="Ahmed Raza"/>
    <s v="Peshawar"/>
    <x v="3"/>
    <x v="10"/>
    <x v="1"/>
    <n v="6"/>
    <n v="22000"/>
    <n v="0.2"/>
    <n v="105600"/>
    <x v="8"/>
    <x v="2"/>
    <s v="Check Price"/>
  </r>
  <r>
    <s v="ORD0510"/>
    <x v="14"/>
    <s v="Sana Ali"/>
    <s v="Hyderabad"/>
    <x v="1"/>
    <x v="5"/>
    <x v="2"/>
    <n v="1"/>
    <n v="22000"/>
    <n v="0.05"/>
    <n v="20900"/>
    <x v="4"/>
    <x v="3"/>
    <s v="Check Price"/>
  </r>
  <r>
    <s v="ORD0511"/>
    <x v="78"/>
    <s v="Sana Ali"/>
    <s v="Sialkot"/>
    <x v="0"/>
    <x v="10"/>
    <x v="1"/>
    <n v="9"/>
    <n v="28000"/>
    <n v="0.1"/>
    <n v="226800"/>
    <x v="9"/>
    <x v="0"/>
    <s v="Check Price"/>
  </r>
  <r>
    <s v="ORD0512"/>
    <x v="371"/>
    <s v="Iqra Khan"/>
    <s v="Quetta"/>
    <x v="1"/>
    <x v="7"/>
    <x v="0"/>
    <n v="6"/>
    <n v="1500"/>
    <n v="0.1"/>
    <n v="8100"/>
    <x v="4"/>
    <x v="3"/>
    <s v="Check Price"/>
  </r>
  <r>
    <s v="ORD0513"/>
    <x v="166"/>
    <s v="Hamza Ali"/>
    <s v="Peshawar"/>
    <x v="1"/>
    <x v="3"/>
    <x v="2"/>
    <n v="5"/>
    <n v="1500"/>
    <n v="0.2"/>
    <n v="6000"/>
    <x v="2"/>
    <x v="1"/>
    <s v="OK"/>
  </r>
  <r>
    <s v="ORD0514"/>
    <x v="19"/>
    <s v="Ali Khan"/>
    <s v="Multan"/>
    <x v="4"/>
    <x v="8"/>
    <x v="0"/>
    <n v="2"/>
    <n v="5000"/>
    <n v="0.1"/>
    <n v="9000"/>
    <x v="5"/>
    <x v="0"/>
    <s v="OK"/>
  </r>
  <r>
    <s v="ORD0515"/>
    <x v="295"/>
    <s v="Sana Ali"/>
    <s v="Faisalabad"/>
    <x v="2"/>
    <x v="8"/>
    <x v="1"/>
    <n v="8"/>
    <n v="28000"/>
    <n v="0.05"/>
    <n v="212800"/>
    <x v="3"/>
    <x v="1"/>
    <s v="Check Price"/>
  </r>
  <r>
    <s v="ORD0516"/>
    <x v="372"/>
    <s v="Maham Khan"/>
    <s v="Karachi"/>
    <x v="3"/>
    <x v="9"/>
    <x v="1"/>
    <n v="3"/>
    <n v="12000"/>
    <n v="0.2"/>
    <n v="28800"/>
    <x v="8"/>
    <x v="0"/>
    <s v="Check Price"/>
  </r>
  <r>
    <s v="ORD0517"/>
    <x v="296"/>
    <s v="Hina Shah"/>
    <s v="Quetta"/>
    <x v="3"/>
    <x v="9"/>
    <x v="2"/>
    <n v="6"/>
    <n v="1200"/>
    <n v="0.25"/>
    <n v="5400"/>
    <x v="1"/>
    <x v="2"/>
    <s v="Check Price"/>
  </r>
  <r>
    <s v="ORD0518"/>
    <x v="356"/>
    <s v="Sara Ahmed"/>
    <s v="Multan"/>
    <x v="1"/>
    <x v="10"/>
    <x v="2"/>
    <n v="2"/>
    <n v="1200"/>
    <n v="0.05"/>
    <n v="2280"/>
    <x v="7"/>
    <x v="0"/>
    <s v="OK"/>
  </r>
  <r>
    <s v="ORD0519"/>
    <x v="240"/>
    <s v="Bilal Ahmed"/>
    <s v="Multan"/>
    <x v="0"/>
    <x v="10"/>
    <x v="1"/>
    <n v="10"/>
    <n v="5000"/>
    <n v="0.05"/>
    <n v="47500"/>
    <x v="5"/>
    <x v="2"/>
    <s v="Check Price"/>
  </r>
  <r>
    <s v="ORD0520"/>
    <x v="373"/>
    <s v="Sana Ali"/>
    <s v="Karachi"/>
    <x v="0"/>
    <x v="9"/>
    <x v="1"/>
    <n v="1"/>
    <n v="30000"/>
    <n v="0.25"/>
    <n v="22500"/>
    <x v="2"/>
    <x v="2"/>
    <s v="Check Price"/>
  </r>
  <r>
    <s v="ORD0521"/>
    <x v="374"/>
    <s v="Danish Malik"/>
    <s v="Sialkot"/>
    <x v="1"/>
    <x v="5"/>
    <x v="0"/>
    <n v="10"/>
    <n v="22000"/>
    <n v="0.1"/>
    <n v="198000"/>
    <x v="2"/>
    <x v="1"/>
    <s v="Check Price"/>
  </r>
  <r>
    <s v="ORD0522"/>
    <x v="103"/>
    <s v="Hamza Ali"/>
    <s v="Rawalpindi"/>
    <x v="3"/>
    <x v="6"/>
    <x v="1"/>
    <n v="8"/>
    <n v="85000"/>
    <n v="0.05"/>
    <n v="646000"/>
    <x v="0"/>
    <x v="2"/>
    <s v="OK"/>
  </r>
  <r>
    <s v="ORD0523"/>
    <x v="324"/>
    <s v="Ayesha Malik"/>
    <s v="Faisalabad"/>
    <x v="2"/>
    <x v="9"/>
    <x v="0"/>
    <n v="2"/>
    <n v="1200"/>
    <n v="0.1"/>
    <n v="2160"/>
    <x v="8"/>
    <x v="2"/>
    <s v="Check Price"/>
  </r>
  <r>
    <s v="ORD0524"/>
    <x v="316"/>
    <s v="Ayesha Malik"/>
    <s v="Islamabad"/>
    <x v="4"/>
    <x v="4"/>
    <x v="1"/>
    <n v="8"/>
    <n v="350"/>
    <n v="0.05"/>
    <n v="2660"/>
    <x v="1"/>
    <x v="1"/>
    <s v="Check Price"/>
  </r>
  <r>
    <s v="ORD0525"/>
    <x v="375"/>
    <s v="Hassan Ahmed"/>
    <s v="Faisalabad"/>
    <x v="0"/>
    <x v="11"/>
    <x v="1"/>
    <n v="7"/>
    <n v="28000"/>
    <n v="0.05"/>
    <n v="186200"/>
    <x v="0"/>
    <x v="0"/>
    <s v="Check Price"/>
  </r>
  <r>
    <s v="ORD0526"/>
    <x v="204"/>
    <s v="Ayesha Malik"/>
    <s v="Karachi"/>
    <x v="2"/>
    <x v="11"/>
    <x v="1"/>
    <n v="6"/>
    <n v="2000"/>
    <n v="0.2"/>
    <n v="9600"/>
    <x v="3"/>
    <x v="1"/>
    <s v="Check Price"/>
  </r>
  <r>
    <s v="ORD0527"/>
    <x v="376"/>
    <s v="Laiba Khan"/>
    <s v="Lahore"/>
    <x v="3"/>
    <x v="10"/>
    <x v="1"/>
    <n v="1"/>
    <n v="4000"/>
    <n v="0.05"/>
    <n v="3800"/>
    <x v="8"/>
    <x v="3"/>
    <s v="Check Price"/>
  </r>
  <r>
    <s v="ORD0528"/>
    <x v="377"/>
    <s v="Usman Khan"/>
    <s v="Rawalpindi"/>
    <x v="5"/>
    <x v="7"/>
    <x v="1"/>
    <n v="5"/>
    <n v="1200"/>
    <n v="0.1"/>
    <n v="5400"/>
    <x v="7"/>
    <x v="3"/>
    <s v="Check Price"/>
  </r>
  <r>
    <s v="ORD0529"/>
    <x v="55"/>
    <s v="Fatima Noor"/>
    <s v="Quetta"/>
    <x v="4"/>
    <x v="2"/>
    <x v="2"/>
    <n v="6"/>
    <n v="22000"/>
    <n v="0.1"/>
    <n v="118800"/>
    <x v="8"/>
    <x v="3"/>
    <s v="Check Price"/>
  </r>
  <r>
    <s v="ORD0530"/>
    <x v="27"/>
    <s v="Zain Malik"/>
    <s v="Sialkot"/>
    <x v="3"/>
    <x v="1"/>
    <x v="1"/>
    <n v="4"/>
    <n v="2500"/>
    <n v="0.15"/>
    <n v="8500"/>
    <x v="3"/>
    <x v="2"/>
    <s v="Check Price"/>
  </r>
  <r>
    <s v="ORD0531"/>
    <x v="367"/>
    <s v="Sara Ahmed"/>
    <s v="Lahore"/>
    <x v="3"/>
    <x v="7"/>
    <x v="1"/>
    <n v="6"/>
    <n v="350"/>
    <n v="0.15"/>
    <n v="1785"/>
    <x v="0"/>
    <x v="2"/>
    <s v="OK"/>
  </r>
  <r>
    <s v="ORD0532"/>
    <x v="378"/>
    <s v="Usman Khan"/>
    <s v="Faisalabad"/>
    <x v="5"/>
    <x v="1"/>
    <x v="0"/>
    <n v="1"/>
    <n v="2000"/>
    <n v="0.15"/>
    <n v="1700"/>
    <x v="1"/>
    <x v="0"/>
    <s v="Check Price"/>
  </r>
  <r>
    <s v="ORD0533"/>
    <x v="379"/>
    <s v="Hamza Ali"/>
    <s v="Quetta"/>
    <x v="4"/>
    <x v="2"/>
    <x v="0"/>
    <n v="9"/>
    <n v="1500"/>
    <n v="0.25"/>
    <n v="10125"/>
    <x v="4"/>
    <x v="2"/>
    <s v="Check Price"/>
  </r>
  <r>
    <s v="ORD0534"/>
    <x v="380"/>
    <s v="Fatima Noor"/>
    <s v="Karachi"/>
    <x v="1"/>
    <x v="4"/>
    <x v="0"/>
    <n v="2"/>
    <n v="4000"/>
    <n v="0.15"/>
    <n v="6800"/>
    <x v="9"/>
    <x v="0"/>
    <s v="Check Price"/>
  </r>
  <r>
    <s v="ORD0535"/>
    <x v="381"/>
    <s v="Usman Khan"/>
    <s v="Multan"/>
    <x v="5"/>
    <x v="4"/>
    <x v="2"/>
    <n v="10"/>
    <n v="28000"/>
    <n v="0.25"/>
    <n v="210000"/>
    <x v="2"/>
    <x v="0"/>
    <s v="Check Price"/>
  </r>
  <r>
    <s v="ORD0536"/>
    <x v="382"/>
    <s v="Talha Ahmed"/>
    <s v="Sialkot"/>
    <x v="3"/>
    <x v="0"/>
    <x v="0"/>
    <n v="7"/>
    <n v="22000"/>
    <n v="0.15"/>
    <n v="130900"/>
    <x v="4"/>
    <x v="2"/>
    <s v="OK"/>
  </r>
  <r>
    <s v="ORD0537"/>
    <x v="383"/>
    <s v="Mariam Noor"/>
    <s v="Quetta"/>
    <x v="1"/>
    <x v="10"/>
    <x v="1"/>
    <n v="9"/>
    <n v="2500"/>
    <n v="0.2"/>
    <n v="18000"/>
    <x v="7"/>
    <x v="3"/>
    <s v="Check Price"/>
  </r>
  <r>
    <s v="ORD0538"/>
    <x v="384"/>
    <s v="Maham Khan"/>
    <s v="Karachi"/>
    <x v="0"/>
    <x v="3"/>
    <x v="2"/>
    <n v="2"/>
    <n v="1500"/>
    <n v="0.15"/>
    <n v="2550"/>
    <x v="1"/>
    <x v="2"/>
    <s v="OK"/>
  </r>
  <r>
    <s v="ORD0539"/>
    <x v="89"/>
    <s v="Maham Khan"/>
    <s v="Multan"/>
    <x v="3"/>
    <x v="8"/>
    <x v="0"/>
    <n v="2"/>
    <n v="2000"/>
    <n v="0.1"/>
    <n v="3600"/>
    <x v="6"/>
    <x v="1"/>
    <s v="Check Price"/>
  </r>
  <r>
    <s v="ORD0540"/>
    <x v="385"/>
    <s v="Ahmed Raza"/>
    <s v="Hyderabad"/>
    <x v="4"/>
    <x v="7"/>
    <x v="1"/>
    <n v="2"/>
    <n v="1200"/>
    <n v="0.25"/>
    <n v="1800"/>
    <x v="1"/>
    <x v="0"/>
    <s v="Check Price"/>
  </r>
  <r>
    <s v="ORD0541"/>
    <x v="323"/>
    <s v="Talha Ahmed"/>
    <s v="Quetta"/>
    <x v="0"/>
    <x v="2"/>
    <x v="0"/>
    <n v="2"/>
    <n v="2000"/>
    <n v="0.1"/>
    <n v="3600"/>
    <x v="2"/>
    <x v="1"/>
    <s v="Check Price"/>
  </r>
  <r>
    <s v="ORD0542"/>
    <x v="386"/>
    <s v="Iqra Khan"/>
    <s v="Rawalpindi"/>
    <x v="2"/>
    <x v="6"/>
    <x v="1"/>
    <n v="10"/>
    <n v="85000"/>
    <n v="0.1"/>
    <n v="765000"/>
    <x v="7"/>
    <x v="3"/>
    <s v="OK"/>
  </r>
  <r>
    <s v="ORD0543"/>
    <x v="387"/>
    <s v="Hina Shah"/>
    <s v="Lahore"/>
    <x v="1"/>
    <x v="11"/>
    <x v="2"/>
    <n v="5"/>
    <n v="28000"/>
    <n v="0.25"/>
    <n v="105000"/>
    <x v="7"/>
    <x v="2"/>
    <s v="Check Price"/>
  </r>
  <r>
    <s v="ORD0544"/>
    <x v="252"/>
    <s v="Hina Shah"/>
    <s v="Hyderabad"/>
    <x v="3"/>
    <x v="2"/>
    <x v="0"/>
    <n v="3"/>
    <n v="2000"/>
    <n v="0.15"/>
    <n v="5100"/>
    <x v="2"/>
    <x v="3"/>
    <s v="Check Price"/>
  </r>
  <r>
    <s v="ORD0545"/>
    <x v="388"/>
    <s v="Hassan Ahmed"/>
    <s v="Rawalpindi"/>
    <x v="0"/>
    <x v="8"/>
    <x v="2"/>
    <n v="8"/>
    <n v="350"/>
    <n v="0.1"/>
    <n v="2520"/>
    <x v="9"/>
    <x v="0"/>
    <s v="Check Price"/>
  </r>
  <r>
    <s v="ORD0546"/>
    <x v="236"/>
    <s v="Danish Malik"/>
    <s v="Quetta"/>
    <x v="1"/>
    <x v="9"/>
    <x v="1"/>
    <n v="6"/>
    <n v="2000"/>
    <n v="0.25"/>
    <n v="9000"/>
    <x v="7"/>
    <x v="0"/>
    <s v="Check Price"/>
  </r>
  <r>
    <s v="ORD0547"/>
    <x v="27"/>
    <s v="Zain Malik"/>
    <s v="Faisalabad"/>
    <x v="0"/>
    <x v="6"/>
    <x v="1"/>
    <n v="1"/>
    <n v="85000"/>
    <n v="0.05"/>
    <n v="80750"/>
    <x v="8"/>
    <x v="1"/>
    <s v="OK"/>
  </r>
  <r>
    <s v="ORD0548"/>
    <x v="381"/>
    <s v="Mariam Noor"/>
    <s v="Quetta"/>
    <x v="2"/>
    <x v="10"/>
    <x v="0"/>
    <n v="9"/>
    <n v="350"/>
    <n v="0.05"/>
    <n v="2992.5"/>
    <x v="1"/>
    <x v="2"/>
    <s v="Check Price"/>
  </r>
  <r>
    <s v="ORD0549"/>
    <x v="389"/>
    <s v="Ahmed Raza"/>
    <s v="Islamabad"/>
    <x v="3"/>
    <x v="0"/>
    <x v="0"/>
    <n v="6"/>
    <n v="22000"/>
    <n v="0.1"/>
    <n v="118800"/>
    <x v="0"/>
    <x v="0"/>
    <s v="OK"/>
  </r>
  <r>
    <s v="ORD0550"/>
    <x v="390"/>
    <s v="Sana Ali"/>
    <s v="Lahore"/>
    <x v="5"/>
    <x v="7"/>
    <x v="0"/>
    <n v="5"/>
    <n v="28000"/>
    <n v="0.1"/>
    <n v="126000"/>
    <x v="1"/>
    <x v="1"/>
    <s v="Check Price"/>
  </r>
  <r>
    <s v="ORD0551"/>
    <x v="62"/>
    <s v="Bilal Ahmed"/>
    <s v="Sialkot"/>
    <x v="0"/>
    <x v="0"/>
    <x v="0"/>
    <n v="1"/>
    <n v="22000"/>
    <n v="0.1"/>
    <n v="19800"/>
    <x v="1"/>
    <x v="3"/>
    <s v="OK"/>
  </r>
  <r>
    <s v="ORD0552"/>
    <x v="286"/>
    <s v="Owais Raza"/>
    <s v="Multan"/>
    <x v="3"/>
    <x v="0"/>
    <x v="0"/>
    <n v="8"/>
    <n v="22000"/>
    <n v="0.05"/>
    <n v="167200"/>
    <x v="8"/>
    <x v="2"/>
    <s v="OK"/>
  </r>
  <r>
    <s v="ORD0553"/>
    <x v="184"/>
    <s v="Danish Malik"/>
    <s v="Hyderabad"/>
    <x v="1"/>
    <x v="2"/>
    <x v="2"/>
    <n v="8"/>
    <n v="30000"/>
    <n v="0.15"/>
    <n v="204000"/>
    <x v="2"/>
    <x v="1"/>
    <s v="Check Price"/>
  </r>
  <r>
    <s v="ORD0554"/>
    <x v="391"/>
    <s v="Talha Ahmed"/>
    <s v="Lahore"/>
    <x v="5"/>
    <x v="11"/>
    <x v="2"/>
    <n v="7"/>
    <n v="350"/>
    <n v="0.05"/>
    <n v="2327.5"/>
    <x v="7"/>
    <x v="0"/>
    <s v="Check Price"/>
  </r>
  <r>
    <s v="ORD0555"/>
    <x v="392"/>
    <s v="Ali Khan"/>
    <s v="Rawalpindi"/>
    <x v="1"/>
    <x v="4"/>
    <x v="0"/>
    <n v="4"/>
    <n v="5000"/>
    <n v="0.05"/>
    <n v="19000"/>
    <x v="9"/>
    <x v="2"/>
    <s v="Check Price"/>
  </r>
  <r>
    <s v="ORD0556"/>
    <x v="203"/>
    <s v="Ayesha Malik"/>
    <s v="Faisalabad"/>
    <x v="5"/>
    <x v="2"/>
    <x v="1"/>
    <n v="7"/>
    <n v="5000"/>
    <n v="0.2"/>
    <n v="28000"/>
    <x v="1"/>
    <x v="2"/>
    <s v="Check Price"/>
  </r>
  <r>
    <s v="ORD0557"/>
    <x v="393"/>
    <s v="Usman Khan"/>
    <s v="Karachi"/>
    <x v="1"/>
    <x v="10"/>
    <x v="2"/>
    <n v="9"/>
    <n v="30000"/>
    <n v="0.15"/>
    <n v="229500"/>
    <x v="9"/>
    <x v="0"/>
    <s v="Check Price"/>
  </r>
  <r>
    <s v="ORD0558"/>
    <x v="214"/>
    <s v="Mariam Noor"/>
    <s v="Lahore"/>
    <x v="5"/>
    <x v="5"/>
    <x v="1"/>
    <n v="5"/>
    <n v="4000"/>
    <n v="0.1"/>
    <n v="18000"/>
    <x v="9"/>
    <x v="3"/>
    <s v="Check Price"/>
  </r>
  <r>
    <s v="ORD0559"/>
    <x v="169"/>
    <s v="Hina Shah"/>
    <s v="Multan"/>
    <x v="2"/>
    <x v="6"/>
    <x v="1"/>
    <n v="5"/>
    <n v="85000"/>
    <n v="0.05"/>
    <n v="403750"/>
    <x v="5"/>
    <x v="1"/>
    <s v="OK"/>
  </r>
  <r>
    <s v="ORD0560"/>
    <x v="42"/>
    <s v="Hassan Ahmed"/>
    <s v="Islamabad"/>
    <x v="2"/>
    <x v="3"/>
    <x v="2"/>
    <n v="5"/>
    <n v="1500"/>
    <n v="0.25"/>
    <n v="5625"/>
    <x v="1"/>
    <x v="1"/>
    <s v="OK"/>
  </r>
  <r>
    <s v="ORD0561"/>
    <x v="24"/>
    <s v="Maham Khan"/>
    <s v="Faisalabad"/>
    <x v="1"/>
    <x v="0"/>
    <x v="0"/>
    <n v="1"/>
    <n v="22000"/>
    <n v="0.2"/>
    <n v="17600"/>
    <x v="0"/>
    <x v="0"/>
    <s v="OK"/>
  </r>
  <r>
    <s v="ORD0562"/>
    <x v="199"/>
    <s v="Hassan Ahmed"/>
    <s v="Multan"/>
    <x v="4"/>
    <x v="0"/>
    <x v="0"/>
    <n v="5"/>
    <n v="22000"/>
    <n v="0.15"/>
    <n v="93500"/>
    <x v="2"/>
    <x v="3"/>
    <s v="OK"/>
  </r>
  <r>
    <s v="ORD0563"/>
    <x v="235"/>
    <s v="Iqra Khan"/>
    <s v="Rawalpindi"/>
    <x v="4"/>
    <x v="3"/>
    <x v="2"/>
    <n v="5"/>
    <n v="1500"/>
    <n v="0.1"/>
    <n v="6750"/>
    <x v="4"/>
    <x v="3"/>
    <s v="OK"/>
  </r>
  <r>
    <s v="ORD0564"/>
    <x v="394"/>
    <s v="Talha Ahmed"/>
    <s v="Peshawar"/>
    <x v="4"/>
    <x v="6"/>
    <x v="1"/>
    <n v="8"/>
    <n v="85000"/>
    <n v="0.2"/>
    <n v="544000"/>
    <x v="5"/>
    <x v="3"/>
    <s v="OK"/>
  </r>
  <r>
    <s v="ORD0565"/>
    <x v="269"/>
    <s v="Fatima Noor"/>
    <s v="Sialkot"/>
    <x v="3"/>
    <x v="7"/>
    <x v="2"/>
    <n v="10"/>
    <n v="5000"/>
    <n v="0.05"/>
    <n v="47500"/>
    <x v="7"/>
    <x v="0"/>
    <s v="Check Price"/>
  </r>
  <r>
    <s v="ORD0566"/>
    <x v="395"/>
    <s v="Mariam Noor"/>
    <s v="Faisalabad"/>
    <x v="4"/>
    <x v="3"/>
    <x v="2"/>
    <n v="4"/>
    <n v="1500"/>
    <n v="0.2"/>
    <n v="4800"/>
    <x v="7"/>
    <x v="3"/>
    <s v="OK"/>
  </r>
  <r>
    <s v="ORD0567"/>
    <x v="295"/>
    <s v="Hamza Ali"/>
    <s v="Hyderabad"/>
    <x v="5"/>
    <x v="5"/>
    <x v="2"/>
    <n v="1"/>
    <n v="5000"/>
    <n v="0.25"/>
    <n v="3750"/>
    <x v="8"/>
    <x v="1"/>
    <s v="Check Price"/>
  </r>
  <r>
    <s v="ORD0568"/>
    <x v="396"/>
    <s v="Sara Ahmed"/>
    <s v="Faisalabad"/>
    <x v="5"/>
    <x v="2"/>
    <x v="2"/>
    <n v="1"/>
    <n v="12000"/>
    <n v="0.1"/>
    <n v="10800"/>
    <x v="0"/>
    <x v="3"/>
    <s v="Check Price"/>
  </r>
  <r>
    <s v="ORD0569"/>
    <x v="397"/>
    <s v="Laiba Khan"/>
    <s v="Rawalpindi"/>
    <x v="2"/>
    <x v="4"/>
    <x v="2"/>
    <n v="5"/>
    <n v="28000"/>
    <n v="0.1"/>
    <n v="126000"/>
    <x v="0"/>
    <x v="2"/>
    <s v="Check Price"/>
  </r>
  <r>
    <s v="ORD0570"/>
    <x v="398"/>
    <s v="Iqra Khan"/>
    <s v="Multan"/>
    <x v="3"/>
    <x v="8"/>
    <x v="0"/>
    <n v="4"/>
    <n v="28000"/>
    <n v="0.1"/>
    <n v="100800"/>
    <x v="1"/>
    <x v="3"/>
    <s v="Check Price"/>
  </r>
  <r>
    <s v="ORD0571"/>
    <x v="399"/>
    <s v="Ayesha Malik"/>
    <s v="Karachi"/>
    <x v="5"/>
    <x v="8"/>
    <x v="0"/>
    <n v="8"/>
    <n v="350"/>
    <n v="0.05"/>
    <n v="2660"/>
    <x v="9"/>
    <x v="1"/>
    <s v="Check Price"/>
  </r>
  <r>
    <s v="ORD0572"/>
    <x v="198"/>
    <s v="Ali Khan"/>
    <s v="Lahore"/>
    <x v="1"/>
    <x v="2"/>
    <x v="2"/>
    <n v="1"/>
    <n v="2000"/>
    <n v="0.25"/>
    <n v="1500"/>
    <x v="2"/>
    <x v="2"/>
    <s v="Check Price"/>
  </r>
  <r>
    <s v="ORD0573"/>
    <x v="400"/>
    <s v="Ayesha Malik"/>
    <s v="Rawalpindi"/>
    <x v="2"/>
    <x v="10"/>
    <x v="2"/>
    <n v="8"/>
    <n v="1500"/>
    <n v="0.2"/>
    <n v="9600"/>
    <x v="7"/>
    <x v="0"/>
    <s v="Check Price"/>
  </r>
  <r>
    <s v="ORD0574"/>
    <x v="186"/>
    <s v="Saad Raza"/>
    <s v="Faisalabad"/>
    <x v="4"/>
    <x v="6"/>
    <x v="1"/>
    <n v="1"/>
    <n v="85000"/>
    <n v="0.1"/>
    <n v="76500"/>
    <x v="8"/>
    <x v="0"/>
    <s v="OK"/>
  </r>
  <r>
    <s v="ORD0575"/>
    <x v="34"/>
    <s v="Hassan Ahmed"/>
    <s v="Multan"/>
    <x v="3"/>
    <x v="4"/>
    <x v="0"/>
    <n v="8"/>
    <n v="1500"/>
    <n v="0.15"/>
    <n v="10200"/>
    <x v="2"/>
    <x v="0"/>
    <s v="Check Price"/>
  </r>
  <r>
    <s v="ORD0576"/>
    <x v="401"/>
    <s v="Hina Shah"/>
    <s v="Rawalpindi"/>
    <x v="1"/>
    <x v="11"/>
    <x v="0"/>
    <n v="3"/>
    <n v="2000"/>
    <n v="0.25"/>
    <n v="4500"/>
    <x v="5"/>
    <x v="1"/>
    <s v="Check Price"/>
  </r>
  <r>
    <s v="ORD0577"/>
    <x v="402"/>
    <s v="Ahmed Raza"/>
    <s v="Lahore"/>
    <x v="4"/>
    <x v="7"/>
    <x v="2"/>
    <n v="5"/>
    <n v="1500"/>
    <n v="0.15"/>
    <n v="6375"/>
    <x v="8"/>
    <x v="3"/>
    <s v="Check Price"/>
  </r>
  <r>
    <s v="ORD0578"/>
    <x v="403"/>
    <s v="Zain Malik"/>
    <s v="Quetta"/>
    <x v="5"/>
    <x v="10"/>
    <x v="0"/>
    <n v="6"/>
    <n v="1500"/>
    <n v="0.25"/>
    <n v="6750"/>
    <x v="7"/>
    <x v="2"/>
    <s v="Check Price"/>
  </r>
  <r>
    <s v="ORD0579"/>
    <x v="250"/>
    <s v="Bilal Ahmed"/>
    <s v="Faisalabad"/>
    <x v="4"/>
    <x v="4"/>
    <x v="0"/>
    <n v="2"/>
    <n v="28000"/>
    <n v="0.15"/>
    <n v="47600"/>
    <x v="6"/>
    <x v="2"/>
    <s v="Check Price"/>
  </r>
  <r>
    <s v="ORD0580"/>
    <x v="404"/>
    <s v="Owais Raza"/>
    <s v="Peshawar"/>
    <x v="5"/>
    <x v="10"/>
    <x v="0"/>
    <n v="4"/>
    <n v="28000"/>
    <n v="0.15"/>
    <n v="95200"/>
    <x v="4"/>
    <x v="0"/>
    <s v="Check Price"/>
  </r>
  <r>
    <s v="ORD0581"/>
    <x v="405"/>
    <s v="Danish Malik"/>
    <s v="Faisalabad"/>
    <x v="2"/>
    <x v="11"/>
    <x v="2"/>
    <n v="1"/>
    <n v="5000"/>
    <n v="0.2"/>
    <n v="4000"/>
    <x v="0"/>
    <x v="3"/>
    <s v="Check Price"/>
  </r>
  <r>
    <s v="ORD0582"/>
    <x v="406"/>
    <s v="Maham Khan"/>
    <s v="Islamabad"/>
    <x v="4"/>
    <x v="3"/>
    <x v="2"/>
    <n v="7"/>
    <n v="1500"/>
    <n v="0.05"/>
    <n v="9975"/>
    <x v="3"/>
    <x v="1"/>
    <s v="OK"/>
  </r>
  <r>
    <s v="ORD0583"/>
    <x v="407"/>
    <s v="Saad Raza"/>
    <s v="Islamabad"/>
    <x v="3"/>
    <x v="2"/>
    <x v="1"/>
    <n v="3"/>
    <n v="22000"/>
    <n v="0.05"/>
    <n v="62700"/>
    <x v="9"/>
    <x v="3"/>
    <s v="Check Price"/>
  </r>
  <r>
    <s v="ORD0584"/>
    <x v="0"/>
    <s v="Hina Shah"/>
    <s v="Peshawar"/>
    <x v="4"/>
    <x v="9"/>
    <x v="0"/>
    <n v="2"/>
    <n v="28000"/>
    <n v="0.15"/>
    <n v="47600"/>
    <x v="5"/>
    <x v="3"/>
    <s v="OK"/>
  </r>
  <r>
    <s v="ORD0585"/>
    <x v="408"/>
    <s v="Iqra Khan"/>
    <s v="Sialkot"/>
    <x v="4"/>
    <x v="1"/>
    <x v="1"/>
    <n v="8"/>
    <n v="12000"/>
    <n v="0.2"/>
    <n v="76800"/>
    <x v="2"/>
    <x v="1"/>
    <s v="Check Price"/>
  </r>
  <r>
    <s v="ORD0586"/>
    <x v="409"/>
    <s v="Hina Shah"/>
    <s v="Multan"/>
    <x v="0"/>
    <x v="0"/>
    <x v="0"/>
    <n v="2"/>
    <n v="22000"/>
    <n v="0.25"/>
    <n v="33000"/>
    <x v="6"/>
    <x v="1"/>
    <s v="OK"/>
  </r>
  <r>
    <s v="ORD0587"/>
    <x v="410"/>
    <s v="Ayesha Malik"/>
    <s v="Rawalpindi"/>
    <x v="0"/>
    <x v="11"/>
    <x v="0"/>
    <n v="8"/>
    <n v="4000"/>
    <n v="0.05"/>
    <n v="30400"/>
    <x v="6"/>
    <x v="2"/>
    <s v="Check Price"/>
  </r>
  <r>
    <s v="ORD0588"/>
    <x v="411"/>
    <s v="Ali Khan"/>
    <s v="Multan"/>
    <x v="0"/>
    <x v="3"/>
    <x v="2"/>
    <n v="4"/>
    <n v="1500"/>
    <n v="0.15"/>
    <n v="5100"/>
    <x v="0"/>
    <x v="3"/>
    <s v="OK"/>
  </r>
  <r>
    <s v="ORD0589"/>
    <x v="412"/>
    <s v="Sara Ahmed"/>
    <s v="Quetta"/>
    <x v="4"/>
    <x v="7"/>
    <x v="2"/>
    <n v="4"/>
    <n v="12000"/>
    <n v="0.05"/>
    <n v="45600"/>
    <x v="2"/>
    <x v="0"/>
    <s v="Check Price"/>
  </r>
  <r>
    <s v="ORD0590"/>
    <x v="191"/>
    <s v="Zain Malik"/>
    <s v="Karachi"/>
    <x v="1"/>
    <x v="7"/>
    <x v="0"/>
    <n v="4"/>
    <n v="85000"/>
    <n v="0.25"/>
    <n v="255000"/>
    <x v="8"/>
    <x v="2"/>
    <s v="Check Price"/>
  </r>
  <r>
    <s v="ORD0591"/>
    <x v="11"/>
    <s v="Danish Malik"/>
    <s v="Peshawar"/>
    <x v="4"/>
    <x v="6"/>
    <x v="1"/>
    <n v="9"/>
    <n v="85000"/>
    <n v="0.2"/>
    <n v="612000"/>
    <x v="5"/>
    <x v="2"/>
    <s v="OK"/>
  </r>
  <r>
    <s v="ORD0592"/>
    <x v="413"/>
    <s v="Hamza Ali"/>
    <s v="Rawalpindi"/>
    <x v="4"/>
    <x v="9"/>
    <x v="1"/>
    <n v="3"/>
    <n v="350"/>
    <n v="0.25"/>
    <n v="787.5"/>
    <x v="6"/>
    <x v="1"/>
    <s v="Check Price"/>
  </r>
  <r>
    <s v="ORD0593"/>
    <x v="212"/>
    <s v="Saad Raza"/>
    <s v="Karachi"/>
    <x v="4"/>
    <x v="9"/>
    <x v="1"/>
    <n v="10"/>
    <n v="28000"/>
    <n v="0.25"/>
    <n v="210000"/>
    <x v="3"/>
    <x v="3"/>
    <s v="OK"/>
  </r>
  <r>
    <s v="ORD0594"/>
    <x v="206"/>
    <s v="Zain Malik"/>
    <s v="Islamabad"/>
    <x v="0"/>
    <x v="7"/>
    <x v="1"/>
    <n v="7"/>
    <n v="1200"/>
    <n v="0.25"/>
    <n v="6300"/>
    <x v="7"/>
    <x v="1"/>
    <s v="Check Price"/>
  </r>
  <r>
    <s v="ORD0595"/>
    <x v="146"/>
    <s v="Danish Malik"/>
    <s v="Multan"/>
    <x v="3"/>
    <x v="4"/>
    <x v="1"/>
    <n v="7"/>
    <n v="1500"/>
    <n v="0.2"/>
    <n v="8400"/>
    <x v="6"/>
    <x v="0"/>
    <s v="Check Price"/>
  </r>
  <r>
    <s v="ORD0596"/>
    <x v="414"/>
    <s v="Zain Malik"/>
    <s v="Hyderabad"/>
    <x v="0"/>
    <x v="0"/>
    <x v="0"/>
    <n v="7"/>
    <n v="22000"/>
    <n v="0.1"/>
    <n v="138600"/>
    <x v="3"/>
    <x v="1"/>
    <s v="OK"/>
  </r>
  <r>
    <s v="ORD0597"/>
    <x v="10"/>
    <s v="Mariam Noor"/>
    <s v="Karachi"/>
    <x v="4"/>
    <x v="9"/>
    <x v="0"/>
    <n v="4"/>
    <n v="12000"/>
    <n v="0.05"/>
    <n v="45600"/>
    <x v="5"/>
    <x v="2"/>
    <s v="Check Price"/>
  </r>
  <r>
    <s v="ORD0598"/>
    <x v="415"/>
    <s v="Maham Khan"/>
    <s v="Peshawar"/>
    <x v="2"/>
    <x v="10"/>
    <x v="0"/>
    <n v="3"/>
    <n v="1200"/>
    <n v="0.2"/>
    <n v="2880"/>
    <x v="6"/>
    <x v="0"/>
    <s v="OK"/>
  </r>
  <r>
    <s v="ORD0599"/>
    <x v="416"/>
    <s v="Zain Malik"/>
    <s v="Multan"/>
    <x v="2"/>
    <x v="2"/>
    <x v="1"/>
    <n v="8"/>
    <n v="22000"/>
    <n v="0.15"/>
    <n v="149600"/>
    <x v="2"/>
    <x v="3"/>
    <s v="Check Price"/>
  </r>
  <r>
    <s v="ORD0600"/>
    <x v="417"/>
    <s v="Danish Malik"/>
    <s v="Sialkot"/>
    <x v="2"/>
    <x v="2"/>
    <x v="0"/>
    <n v="4"/>
    <n v="2500"/>
    <n v="0.05"/>
    <n v="9500"/>
    <x v="4"/>
    <x v="2"/>
    <s v="OK"/>
  </r>
  <r>
    <s v="ORD0601"/>
    <x v="38"/>
    <s v="Ahmed Raza"/>
    <s v="Quetta"/>
    <x v="4"/>
    <x v="7"/>
    <x v="1"/>
    <n v="8"/>
    <n v="2500"/>
    <n v="0.15"/>
    <n v="17000"/>
    <x v="6"/>
    <x v="2"/>
    <s v="Check Price"/>
  </r>
  <r>
    <s v="ORD0602"/>
    <x v="264"/>
    <s v="Iqra Khan"/>
    <s v="Quetta"/>
    <x v="4"/>
    <x v="2"/>
    <x v="2"/>
    <n v="3"/>
    <n v="22000"/>
    <n v="0.25"/>
    <n v="49500"/>
    <x v="0"/>
    <x v="0"/>
    <s v="Check Price"/>
  </r>
  <r>
    <s v="ORD0603"/>
    <x v="269"/>
    <s v="Zain Malik"/>
    <s v="Lahore"/>
    <x v="5"/>
    <x v="11"/>
    <x v="2"/>
    <n v="9"/>
    <n v="85000"/>
    <n v="0.1"/>
    <n v="688500"/>
    <x v="0"/>
    <x v="1"/>
    <s v="Check Price"/>
  </r>
  <r>
    <s v="ORD0604"/>
    <x v="418"/>
    <s v="Maham Khan"/>
    <s v="Faisalabad"/>
    <x v="3"/>
    <x v="3"/>
    <x v="2"/>
    <n v="1"/>
    <n v="1500"/>
    <n v="0.2"/>
    <n v="1200"/>
    <x v="0"/>
    <x v="0"/>
    <s v="OK"/>
  </r>
  <r>
    <s v="ORD0605"/>
    <x v="177"/>
    <s v="Maham Khan"/>
    <s v="Lahore"/>
    <x v="3"/>
    <x v="4"/>
    <x v="2"/>
    <n v="9"/>
    <n v="5000"/>
    <n v="0.15"/>
    <n v="38250"/>
    <x v="0"/>
    <x v="3"/>
    <s v="Check Price"/>
  </r>
  <r>
    <s v="ORD0606"/>
    <x v="419"/>
    <s v="Mariam Noor"/>
    <s v="Peshawar"/>
    <x v="1"/>
    <x v="2"/>
    <x v="1"/>
    <n v="6"/>
    <n v="12000"/>
    <n v="0.1"/>
    <n v="64800"/>
    <x v="2"/>
    <x v="2"/>
    <s v="Check Price"/>
  </r>
  <r>
    <s v="ORD0607"/>
    <x v="10"/>
    <s v="Ali Khan"/>
    <s v="Lahore"/>
    <x v="0"/>
    <x v="5"/>
    <x v="2"/>
    <n v="1"/>
    <n v="12000"/>
    <n v="0.1"/>
    <n v="10800"/>
    <x v="8"/>
    <x v="3"/>
    <s v="Check Price"/>
  </r>
  <r>
    <s v="ORD0608"/>
    <x v="76"/>
    <s v="Fatima Noor"/>
    <s v="Peshawar"/>
    <x v="5"/>
    <x v="8"/>
    <x v="0"/>
    <n v="6"/>
    <n v="12000"/>
    <n v="0.15"/>
    <n v="61200"/>
    <x v="5"/>
    <x v="3"/>
    <s v="Check Price"/>
  </r>
  <r>
    <s v="ORD0609"/>
    <x v="105"/>
    <s v="Sara Ahmed"/>
    <s v="Peshawar"/>
    <x v="3"/>
    <x v="3"/>
    <x v="2"/>
    <n v="9"/>
    <n v="1500"/>
    <n v="0.2"/>
    <n v="10800"/>
    <x v="1"/>
    <x v="1"/>
    <s v="OK"/>
  </r>
  <r>
    <s v="ORD0610"/>
    <x v="420"/>
    <s v="Hamza Ali"/>
    <s v="Hyderabad"/>
    <x v="5"/>
    <x v="10"/>
    <x v="0"/>
    <n v="6"/>
    <n v="85000"/>
    <n v="0.1"/>
    <n v="459000"/>
    <x v="9"/>
    <x v="3"/>
    <s v="Check Price"/>
  </r>
  <r>
    <s v="ORD0611"/>
    <x v="421"/>
    <s v="Ali Khan"/>
    <s v="Islamabad"/>
    <x v="3"/>
    <x v="0"/>
    <x v="0"/>
    <n v="7"/>
    <n v="22000"/>
    <n v="0.15"/>
    <n v="130900"/>
    <x v="6"/>
    <x v="1"/>
    <s v="OK"/>
  </r>
  <r>
    <s v="ORD0612"/>
    <x v="324"/>
    <s v="Zain Malik"/>
    <s v="Multan"/>
    <x v="5"/>
    <x v="4"/>
    <x v="2"/>
    <n v="3"/>
    <n v="350"/>
    <n v="0.25"/>
    <n v="787.5"/>
    <x v="4"/>
    <x v="1"/>
    <s v="Check Price"/>
  </r>
  <r>
    <s v="ORD0613"/>
    <x v="149"/>
    <s v="Ahmed Raza"/>
    <s v="Lahore"/>
    <x v="0"/>
    <x v="6"/>
    <x v="1"/>
    <n v="10"/>
    <n v="85000"/>
    <n v="0.2"/>
    <n v="680000"/>
    <x v="1"/>
    <x v="2"/>
    <s v="OK"/>
  </r>
  <r>
    <s v="ORD0614"/>
    <x v="181"/>
    <s v="Iqra Khan"/>
    <s v="Lahore"/>
    <x v="1"/>
    <x v="10"/>
    <x v="1"/>
    <n v="9"/>
    <n v="4000"/>
    <n v="0.05"/>
    <n v="34200"/>
    <x v="8"/>
    <x v="2"/>
    <s v="Check Price"/>
  </r>
  <r>
    <s v="ORD0615"/>
    <x v="264"/>
    <s v="Hassan Ahmed"/>
    <s v="Peshawar"/>
    <x v="0"/>
    <x v="1"/>
    <x v="1"/>
    <n v="7"/>
    <n v="12000"/>
    <n v="0.1"/>
    <n v="75600"/>
    <x v="3"/>
    <x v="3"/>
    <s v="Check Price"/>
  </r>
  <r>
    <s v="ORD0616"/>
    <x v="422"/>
    <s v="Saad Raza"/>
    <s v="Sialkot"/>
    <x v="0"/>
    <x v="7"/>
    <x v="1"/>
    <n v="5"/>
    <n v="350"/>
    <n v="0.1"/>
    <n v="1575"/>
    <x v="3"/>
    <x v="0"/>
    <s v="OK"/>
  </r>
  <r>
    <s v="ORD0617"/>
    <x v="423"/>
    <s v="Talha Ahmed"/>
    <s v="Islamabad"/>
    <x v="2"/>
    <x v="10"/>
    <x v="2"/>
    <n v="1"/>
    <n v="85000"/>
    <n v="0.05"/>
    <n v="80750"/>
    <x v="6"/>
    <x v="0"/>
    <s v="Check Price"/>
  </r>
  <r>
    <s v="ORD0618"/>
    <x v="45"/>
    <s v="Ayesha Malik"/>
    <s v="Faisalabad"/>
    <x v="2"/>
    <x v="6"/>
    <x v="1"/>
    <n v="9"/>
    <n v="85000"/>
    <n v="0.2"/>
    <n v="612000"/>
    <x v="0"/>
    <x v="1"/>
    <s v="OK"/>
  </r>
  <r>
    <s v="ORD0619"/>
    <x v="178"/>
    <s v="Ayesha Malik"/>
    <s v="Multan"/>
    <x v="1"/>
    <x v="5"/>
    <x v="0"/>
    <n v="1"/>
    <n v="2000"/>
    <n v="0.2"/>
    <n v="1600"/>
    <x v="0"/>
    <x v="2"/>
    <s v="OK"/>
  </r>
  <r>
    <s v="ORD0620"/>
    <x v="424"/>
    <s v="Mariam Noor"/>
    <s v="Peshawar"/>
    <x v="3"/>
    <x v="10"/>
    <x v="0"/>
    <n v="1"/>
    <n v="30000"/>
    <n v="0.25"/>
    <n v="22500"/>
    <x v="2"/>
    <x v="1"/>
    <s v="Check Price"/>
  </r>
  <r>
    <s v="ORD0621"/>
    <x v="381"/>
    <s v="Sana Ali"/>
    <s v="Faisalabad"/>
    <x v="4"/>
    <x v="0"/>
    <x v="0"/>
    <n v="7"/>
    <n v="22000"/>
    <n v="0.1"/>
    <n v="138600"/>
    <x v="3"/>
    <x v="3"/>
    <s v="OK"/>
  </r>
  <r>
    <s v="ORD0622"/>
    <x v="425"/>
    <s v="Sana Ali"/>
    <s v="Islamabad"/>
    <x v="3"/>
    <x v="11"/>
    <x v="0"/>
    <n v="7"/>
    <n v="22000"/>
    <n v="0.05"/>
    <n v="146300"/>
    <x v="6"/>
    <x v="3"/>
    <s v="Check Price"/>
  </r>
  <r>
    <s v="ORD0623"/>
    <x v="426"/>
    <s v="Mariam Noor"/>
    <s v="Multan"/>
    <x v="3"/>
    <x v="8"/>
    <x v="1"/>
    <n v="5"/>
    <n v="1500"/>
    <n v="0.1"/>
    <n v="6750"/>
    <x v="5"/>
    <x v="2"/>
    <s v="Check Price"/>
  </r>
  <r>
    <s v="ORD0624"/>
    <x v="427"/>
    <s v="Sara Ahmed"/>
    <s v="Sialkot"/>
    <x v="1"/>
    <x v="0"/>
    <x v="0"/>
    <n v="6"/>
    <n v="22000"/>
    <n v="0.2"/>
    <n v="105600"/>
    <x v="8"/>
    <x v="2"/>
    <s v="OK"/>
  </r>
  <r>
    <s v="ORD0625"/>
    <x v="428"/>
    <s v="Bilal Ahmed"/>
    <s v="Rawalpindi"/>
    <x v="5"/>
    <x v="5"/>
    <x v="2"/>
    <n v="2"/>
    <n v="12000"/>
    <n v="0.05"/>
    <n v="22800"/>
    <x v="7"/>
    <x v="2"/>
    <s v="Check Price"/>
  </r>
  <r>
    <s v="ORD0626"/>
    <x v="429"/>
    <s v="Ayesha Malik"/>
    <s v="Quetta"/>
    <x v="0"/>
    <x v="9"/>
    <x v="1"/>
    <n v="7"/>
    <n v="4000"/>
    <n v="0.1"/>
    <n v="25200"/>
    <x v="7"/>
    <x v="2"/>
    <s v="Check Price"/>
  </r>
  <r>
    <s v="ORD0627"/>
    <x v="430"/>
    <s v="Iqra Khan"/>
    <s v="Islamabad"/>
    <x v="1"/>
    <x v="0"/>
    <x v="0"/>
    <n v="5"/>
    <n v="22000"/>
    <n v="0.15"/>
    <n v="93500"/>
    <x v="3"/>
    <x v="2"/>
    <s v="OK"/>
  </r>
  <r>
    <s v="ORD0628"/>
    <x v="431"/>
    <s v="Hamza Ali"/>
    <s v="Sialkot"/>
    <x v="0"/>
    <x v="10"/>
    <x v="1"/>
    <n v="10"/>
    <n v="1200"/>
    <n v="0.05"/>
    <n v="11400"/>
    <x v="8"/>
    <x v="3"/>
    <s v="OK"/>
  </r>
  <r>
    <s v="ORD0629"/>
    <x v="41"/>
    <s v="Mariam Noor"/>
    <s v="Lahore"/>
    <x v="2"/>
    <x v="9"/>
    <x v="2"/>
    <n v="7"/>
    <n v="1500"/>
    <n v="0.2"/>
    <n v="8400"/>
    <x v="6"/>
    <x v="0"/>
    <s v="Check Price"/>
  </r>
  <r>
    <s v="ORD0630"/>
    <x v="267"/>
    <s v="Danish Malik"/>
    <s v="Rawalpindi"/>
    <x v="3"/>
    <x v="11"/>
    <x v="0"/>
    <n v="9"/>
    <n v="5000"/>
    <n v="0.2"/>
    <n v="36000"/>
    <x v="2"/>
    <x v="0"/>
    <s v="Check Price"/>
  </r>
  <r>
    <s v="ORD0631"/>
    <x v="121"/>
    <s v="Usman Khan"/>
    <s v="Faisalabad"/>
    <x v="0"/>
    <x v="4"/>
    <x v="0"/>
    <n v="7"/>
    <n v="4000"/>
    <n v="0.1"/>
    <n v="25200"/>
    <x v="7"/>
    <x v="1"/>
    <s v="Check Price"/>
  </r>
  <r>
    <s v="ORD0632"/>
    <x v="95"/>
    <s v="Talha Ahmed"/>
    <s v="Sialkot"/>
    <x v="4"/>
    <x v="5"/>
    <x v="0"/>
    <n v="9"/>
    <n v="12000"/>
    <n v="0.05"/>
    <n v="102600"/>
    <x v="6"/>
    <x v="0"/>
    <s v="Check Price"/>
  </r>
  <r>
    <s v="ORD0633"/>
    <x v="380"/>
    <s v="Hina Shah"/>
    <s v="Karachi"/>
    <x v="5"/>
    <x v="5"/>
    <x v="0"/>
    <n v="3"/>
    <n v="5000"/>
    <n v="0.25"/>
    <n v="11250"/>
    <x v="9"/>
    <x v="2"/>
    <s v="Check Price"/>
  </r>
  <r>
    <s v="ORD0634"/>
    <x v="432"/>
    <s v="Usman Khan"/>
    <s v="Faisalabad"/>
    <x v="4"/>
    <x v="7"/>
    <x v="0"/>
    <n v="10"/>
    <n v="1200"/>
    <n v="0.1"/>
    <n v="10800"/>
    <x v="7"/>
    <x v="2"/>
    <s v="Check Price"/>
  </r>
  <r>
    <s v="ORD0635"/>
    <x v="303"/>
    <s v="Bilal Ahmed"/>
    <s v="Peshawar"/>
    <x v="0"/>
    <x v="1"/>
    <x v="2"/>
    <n v="7"/>
    <n v="1500"/>
    <n v="0.05"/>
    <n v="9975"/>
    <x v="9"/>
    <x v="3"/>
    <s v="Check Price"/>
  </r>
  <r>
    <s v="ORD0636"/>
    <x v="108"/>
    <s v="Usman Khan"/>
    <s v="Peshawar"/>
    <x v="2"/>
    <x v="7"/>
    <x v="1"/>
    <n v="2"/>
    <n v="2000"/>
    <n v="0.05"/>
    <n v="3800"/>
    <x v="8"/>
    <x v="3"/>
    <s v="Check Price"/>
  </r>
  <r>
    <s v="ORD0637"/>
    <x v="416"/>
    <s v="Danish Malik"/>
    <s v="Lahore"/>
    <x v="1"/>
    <x v="5"/>
    <x v="0"/>
    <n v="2"/>
    <n v="1200"/>
    <n v="0.1"/>
    <n v="2160"/>
    <x v="5"/>
    <x v="3"/>
    <s v="Check Price"/>
  </r>
  <r>
    <s v="ORD0638"/>
    <x v="416"/>
    <s v="Hassan Ahmed"/>
    <s v="Faisalabad"/>
    <x v="3"/>
    <x v="2"/>
    <x v="2"/>
    <n v="10"/>
    <n v="12000"/>
    <n v="0.05"/>
    <n v="114000"/>
    <x v="0"/>
    <x v="0"/>
    <s v="Check Price"/>
  </r>
  <r>
    <s v="ORD0639"/>
    <x v="81"/>
    <s v="Zain Malik"/>
    <s v="Sialkot"/>
    <x v="4"/>
    <x v="11"/>
    <x v="0"/>
    <n v="4"/>
    <n v="1500"/>
    <n v="0.05"/>
    <n v="5700"/>
    <x v="8"/>
    <x v="3"/>
    <s v="Check Price"/>
  </r>
  <r>
    <s v="ORD0640"/>
    <x v="162"/>
    <s v="Sana Ali"/>
    <s v="Lahore"/>
    <x v="3"/>
    <x v="9"/>
    <x v="1"/>
    <n v="7"/>
    <n v="2500"/>
    <n v="0.25"/>
    <n v="13125"/>
    <x v="6"/>
    <x v="1"/>
    <s v="Check Price"/>
  </r>
  <r>
    <s v="ORD0641"/>
    <x v="2"/>
    <s v="Laiba Khan"/>
    <s v="Lahore"/>
    <x v="5"/>
    <x v="0"/>
    <x v="0"/>
    <n v="10"/>
    <n v="22000"/>
    <n v="0.25"/>
    <n v="165000"/>
    <x v="7"/>
    <x v="2"/>
    <s v="OK"/>
  </r>
  <r>
    <s v="ORD0642"/>
    <x v="304"/>
    <s v="Saad Raza"/>
    <s v="Multan"/>
    <x v="5"/>
    <x v="2"/>
    <x v="0"/>
    <n v="10"/>
    <n v="5000"/>
    <n v="0.25"/>
    <n v="37500"/>
    <x v="8"/>
    <x v="3"/>
    <s v="Check Price"/>
  </r>
  <r>
    <s v="ORD0643"/>
    <x v="381"/>
    <s v="Mariam Noor"/>
    <s v="Islamabad"/>
    <x v="5"/>
    <x v="7"/>
    <x v="1"/>
    <n v="7"/>
    <n v="12000"/>
    <n v="0.15"/>
    <n v="71400"/>
    <x v="2"/>
    <x v="2"/>
    <s v="Check Price"/>
  </r>
  <r>
    <s v="ORD0644"/>
    <x v="433"/>
    <s v="Sana Ali"/>
    <s v="Quetta"/>
    <x v="4"/>
    <x v="3"/>
    <x v="2"/>
    <n v="6"/>
    <n v="1500"/>
    <n v="0.15"/>
    <n v="7650"/>
    <x v="8"/>
    <x v="0"/>
    <s v="OK"/>
  </r>
  <r>
    <s v="ORD0645"/>
    <x v="392"/>
    <s v="Danish Malik"/>
    <s v="Sialkot"/>
    <x v="0"/>
    <x v="5"/>
    <x v="1"/>
    <n v="2"/>
    <n v="5000"/>
    <n v="0.2"/>
    <n v="8000"/>
    <x v="2"/>
    <x v="0"/>
    <s v="Check Price"/>
  </r>
  <r>
    <s v="ORD0646"/>
    <x v="177"/>
    <s v="Owais Raza"/>
    <s v="Hyderabad"/>
    <x v="5"/>
    <x v="1"/>
    <x v="2"/>
    <n v="10"/>
    <n v="1500"/>
    <n v="0.2"/>
    <n v="12000"/>
    <x v="5"/>
    <x v="0"/>
    <s v="Check Price"/>
  </r>
  <r>
    <s v="ORD0647"/>
    <x v="187"/>
    <s v="Danish Malik"/>
    <s v="Hyderabad"/>
    <x v="5"/>
    <x v="8"/>
    <x v="2"/>
    <n v="8"/>
    <n v="2500"/>
    <n v="0.05"/>
    <n v="19000"/>
    <x v="1"/>
    <x v="1"/>
    <s v="Check Price"/>
  </r>
  <r>
    <s v="ORD0648"/>
    <x v="376"/>
    <s v="Danish Malik"/>
    <s v="Islamabad"/>
    <x v="5"/>
    <x v="10"/>
    <x v="0"/>
    <n v="8"/>
    <n v="1200"/>
    <n v="0.25"/>
    <n v="7200"/>
    <x v="3"/>
    <x v="3"/>
    <s v="OK"/>
  </r>
  <r>
    <s v="ORD0649"/>
    <x v="434"/>
    <s v="Ahmed Raza"/>
    <s v="Peshawar"/>
    <x v="2"/>
    <x v="10"/>
    <x v="2"/>
    <n v="6"/>
    <n v="28000"/>
    <n v="0.05"/>
    <n v="159600"/>
    <x v="3"/>
    <x v="3"/>
    <s v="Check Price"/>
  </r>
  <r>
    <s v="ORD0650"/>
    <x v="82"/>
    <s v="Sana Ali"/>
    <s v="Rawalpindi"/>
    <x v="4"/>
    <x v="10"/>
    <x v="2"/>
    <n v="2"/>
    <n v="30000"/>
    <n v="0.15"/>
    <n v="51000"/>
    <x v="4"/>
    <x v="2"/>
    <s v="Check Price"/>
  </r>
  <r>
    <s v="ORD0651"/>
    <x v="435"/>
    <s v="Ahmed Raza"/>
    <s v="Rawalpindi"/>
    <x v="1"/>
    <x v="2"/>
    <x v="2"/>
    <n v="3"/>
    <n v="22000"/>
    <n v="0.1"/>
    <n v="59400"/>
    <x v="0"/>
    <x v="3"/>
    <s v="Check Price"/>
  </r>
  <r>
    <s v="ORD0652"/>
    <x v="203"/>
    <s v="Hassan Ahmed"/>
    <s v="Lahore"/>
    <x v="5"/>
    <x v="1"/>
    <x v="2"/>
    <n v="2"/>
    <n v="28000"/>
    <n v="0.25"/>
    <n v="42000"/>
    <x v="8"/>
    <x v="0"/>
    <s v="Check Price"/>
  </r>
  <r>
    <s v="ORD0653"/>
    <x v="436"/>
    <s v="Laiba Khan"/>
    <s v="Faisalabad"/>
    <x v="5"/>
    <x v="8"/>
    <x v="0"/>
    <n v="8"/>
    <n v="4000"/>
    <n v="0.15"/>
    <n v="27200"/>
    <x v="5"/>
    <x v="3"/>
    <s v="Check Price"/>
  </r>
  <r>
    <s v="ORD0654"/>
    <x v="312"/>
    <s v="Fatima Noor"/>
    <s v="Karachi"/>
    <x v="5"/>
    <x v="4"/>
    <x v="0"/>
    <n v="8"/>
    <n v="5000"/>
    <n v="0.25"/>
    <n v="30000"/>
    <x v="5"/>
    <x v="2"/>
    <s v="Check Price"/>
  </r>
  <r>
    <s v="ORD0655"/>
    <x v="157"/>
    <s v="Sara Ahmed"/>
    <s v="Peshawar"/>
    <x v="1"/>
    <x v="3"/>
    <x v="2"/>
    <n v="5"/>
    <n v="1500"/>
    <n v="0.15"/>
    <n v="6375"/>
    <x v="9"/>
    <x v="1"/>
    <s v="OK"/>
  </r>
  <r>
    <s v="ORD0656"/>
    <x v="380"/>
    <s v="Saad Raza"/>
    <s v="Rawalpindi"/>
    <x v="2"/>
    <x v="11"/>
    <x v="0"/>
    <n v="10"/>
    <n v="1200"/>
    <n v="0.25"/>
    <n v="9000"/>
    <x v="6"/>
    <x v="0"/>
    <s v="Check Price"/>
  </r>
  <r>
    <s v="ORD0657"/>
    <x v="174"/>
    <s v="Danish Malik"/>
    <s v="Peshawar"/>
    <x v="3"/>
    <x v="11"/>
    <x v="1"/>
    <n v="3"/>
    <n v="2000"/>
    <n v="0.05"/>
    <n v="5700"/>
    <x v="3"/>
    <x v="1"/>
    <s v="Check Price"/>
  </r>
  <r>
    <s v="ORD0658"/>
    <x v="304"/>
    <s v="Fatima Noor"/>
    <s v="Islamabad"/>
    <x v="4"/>
    <x v="7"/>
    <x v="1"/>
    <n v="10"/>
    <n v="4000"/>
    <n v="0.15"/>
    <n v="34000"/>
    <x v="5"/>
    <x v="2"/>
    <s v="Check Price"/>
  </r>
  <r>
    <s v="ORD0659"/>
    <x v="437"/>
    <s v="Ayesha Malik"/>
    <s v="Peshawar"/>
    <x v="5"/>
    <x v="0"/>
    <x v="0"/>
    <n v="10"/>
    <n v="22000"/>
    <n v="0.25"/>
    <n v="165000"/>
    <x v="1"/>
    <x v="0"/>
    <s v="OK"/>
  </r>
  <r>
    <s v="ORD0660"/>
    <x v="213"/>
    <s v="Iqra Khan"/>
    <s v="Hyderabad"/>
    <x v="5"/>
    <x v="9"/>
    <x v="0"/>
    <n v="1"/>
    <n v="22000"/>
    <n v="0.2"/>
    <n v="17600"/>
    <x v="0"/>
    <x v="1"/>
    <s v="Check Price"/>
  </r>
  <r>
    <s v="ORD0661"/>
    <x v="176"/>
    <s v="Owais Raza"/>
    <s v="Hyderabad"/>
    <x v="4"/>
    <x v="5"/>
    <x v="2"/>
    <n v="9"/>
    <n v="350"/>
    <n v="0.05"/>
    <n v="2992.5"/>
    <x v="7"/>
    <x v="0"/>
    <s v="Check Price"/>
  </r>
  <r>
    <s v="ORD0662"/>
    <x v="425"/>
    <s v="Zain Malik"/>
    <s v="Faisalabad"/>
    <x v="3"/>
    <x v="1"/>
    <x v="2"/>
    <n v="9"/>
    <n v="30000"/>
    <n v="0.05"/>
    <n v="256500"/>
    <x v="0"/>
    <x v="0"/>
    <s v="Check Price"/>
  </r>
  <r>
    <s v="ORD0663"/>
    <x v="438"/>
    <s v="Hamza Ali"/>
    <s v="Quetta"/>
    <x v="4"/>
    <x v="2"/>
    <x v="0"/>
    <n v="10"/>
    <n v="22000"/>
    <n v="0.25"/>
    <n v="165000"/>
    <x v="2"/>
    <x v="0"/>
    <s v="Check Price"/>
  </r>
  <r>
    <s v="ORD0664"/>
    <x v="390"/>
    <s v="Ahmed Raza"/>
    <s v="Faisalabad"/>
    <x v="3"/>
    <x v="9"/>
    <x v="0"/>
    <n v="5"/>
    <n v="12000"/>
    <n v="0.1"/>
    <n v="54000"/>
    <x v="8"/>
    <x v="1"/>
    <s v="Check Price"/>
  </r>
  <r>
    <s v="ORD0665"/>
    <x v="439"/>
    <s v="Hina Shah"/>
    <s v="Lahore"/>
    <x v="2"/>
    <x v="0"/>
    <x v="0"/>
    <n v="2"/>
    <n v="22000"/>
    <n v="0.2"/>
    <n v="35200"/>
    <x v="2"/>
    <x v="3"/>
    <s v="OK"/>
  </r>
  <r>
    <s v="ORD0666"/>
    <x v="440"/>
    <s v="Maham Khan"/>
    <s v="Lahore"/>
    <x v="5"/>
    <x v="0"/>
    <x v="0"/>
    <n v="7"/>
    <n v="22000"/>
    <n v="0.1"/>
    <n v="138600"/>
    <x v="1"/>
    <x v="2"/>
    <s v="OK"/>
  </r>
  <r>
    <s v="ORD0667"/>
    <x v="441"/>
    <s v="Sana Ali"/>
    <s v="Karachi"/>
    <x v="2"/>
    <x v="10"/>
    <x v="1"/>
    <n v="3"/>
    <n v="30000"/>
    <n v="0.25"/>
    <n v="67500"/>
    <x v="9"/>
    <x v="3"/>
    <s v="Check Price"/>
  </r>
  <r>
    <s v="ORD0668"/>
    <x v="442"/>
    <s v="Hassan Ahmed"/>
    <s v="Multan"/>
    <x v="4"/>
    <x v="1"/>
    <x v="2"/>
    <n v="5"/>
    <n v="22000"/>
    <n v="0.1"/>
    <n v="99000"/>
    <x v="9"/>
    <x v="1"/>
    <s v="Check Price"/>
  </r>
  <r>
    <s v="ORD0669"/>
    <x v="60"/>
    <s v="Talha Ahmed"/>
    <s v="Sialkot"/>
    <x v="1"/>
    <x v="11"/>
    <x v="1"/>
    <n v="1"/>
    <n v="5000"/>
    <n v="0.25"/>
    <n v="3750"/>
    <x v="6"/>
    <x v="2"/>
    <s v="Check Price"/>
  </r>
  <r>
    <s v="ORD0670"/>
    <x v="443"/>
    <s v="Fatima Noor"/>
    <s v="Karachi"/>
    <x v="1"/>
    <x v="5"/>
    <x v="2"/>
    <n v="3"/>
    <n v="5000"/>
    <n v="0.05"/>
    <n v="14250"/>
    <x v="1"/>
    <x v="0"/>
    <s v="Check Price"/>
  </r>
  <r>
    <s v="ORD0671"/>
    <x v="444"/>
    <s v="Iqra Khan"/>
    <s v="Hyderabad"/>
    <x v="0"/>
    <x v="4"/>
    <x v="2"/>
    <n v="4"/>
    <n v="28000"/>
    <n v="0.05"/>
    <n v="106400"/>
    <x v="9"/>
    <x v="0"/>
    <s v="Check Price"/>
  </r>
  <r>
    <s v="ORD0672"/>
    <x v="154"/>
    <s v="Talha Ahmed"/>
    <s v="Multan"/>
    <x v="1"/>
    <x v="8"/>
    <x v="0"/>
    <n v="3"/>
    <n v="2000"/>
    <n v="0.25"/>
    <n v="4500"/>
    <x v="9"/>
    <x v="3"/>
    <s v="Check Price"/>
  </r>
  <r>
    <s v="ORD0673"/>
    <x v="1"/>
    <s v="Maham Khan"/>
    <s v="Peshawar"/>
    <x v="5"/>
    <x v="8"/>
    <x v="1"/>
    <n v="8"/>
    <n v="28000"/>
    <n v="0.1"/>
    <n v="201600"/>
    <x v="0"/>
    <x v="3"/>
    <s v="Check Price"/>
  </r>
  <r>
    <s v="ORD0674"/>
    <x v="222"/>
    <s v="Saad Raza"/>
    <s v="Multan"/>
    <x v="5"/>
    <x v="7"/>
    <x v="1"/>
    <n v="8"/>
    <n v="30000"/>
    <n v="0.15"/>
    <n v="204000"/>
    <x v="2"/>
    <x v="2"/>
    <s v="Check Price"/>
  </r>
  <r>
    <s v="ORD0675"/>
    <x v="48"/>
    <s v="Ali Khan"/>
    <s v="Hyderabad"/>
    <x v="3"/>
    <x v="0"/>
    <x v="0"/>
    <n v="4"/>
    <n v="22000"/>
    <n v="0.05"/>
    <n v="83600"/>
    <x v="8"/>
    <x v="0"/>
    <s v="OK"/>
  </r>
  <r>
    <s v="ORD0676"/>
    <x v="330"/>
    <s v="Hamza Ali"/>
    <s v="Faisalabad"/>
    <x v="4"/>
    <x v="5"/>
    <x v="2"/>
    <n v="8"/>
    <n v="5000"/>
    <n v="0.2"/>
    <n v="32000"/>
    <x v="6"/>
    <x v="0"/>
    <s v="Check Price"/>
  </r>
  <r>
    <s v="ORD0677"/>
    <x v="51"/>
    <s v="Usman Khan"/>
    <s v="Hyderabad"/>
    <x v="4"/>
    <x v="7"/>
    <x v="1"/>
    <n v="7"/>
    <n v="12000"/>
    <n v="0.1"/>
    <n v="75600"/>
    <x v="5"/>
    <x v="2"/>
    <s v="Check Price"/>
  </r>
  <r>
    <s v="ORD0678"/>
    <x v="445"/>
    <s v="Hassan Ahmed"/>
    <s v="Multan"/>
    <x v="2"/>
    <x v="8"/>
    <x v="2"/>
    <n v="1"/>
    <n v="1200"/>
    <n v="0.25"/>
    <n v="900"/>
    <x v="7"/>
    <x v="0"/>
    <s v="Check Price"/>
  </r>
  <r>
    <s v="ORD0679"/>
    <x v="280"/>
    <s v="Hamza Ali"/>
    <s v="Hyderabad"/>
    <x v="5"/>
    <x v="6"/>
    <x v="1"/>
    <n v="4"/>
    <n v="85000"/>
    <n v="0.2"/>
    <n v="272000"/>
    <x v="0"/>
    <x v="1"/>
    <s v="OK"/>
  </r>
  <r>
    <s v="ORD0680"/>
    <x v="161"/>
    <s v="Danish Malik"/>
    <s v="Sialkot"/>
    <x v="5"/>
    <x v="10"/>
    <x v="1"/>
    <n v="1"/>
    <n v="22000"/>
    <n v="0.1"/>
    <n v="19800"/>
    <x v="6"/>
    <x v="1"/>
    <s v="Check Price"/>
  </r>
  <r>
    <s v="ORD0681"/>
    <x v="314"/>
    <s v="Sara Ahmed"/>
    <s v="Multan"/>
    <x v="5"/>
    <x v="6"/>
    <x v="1"/>
    <n v="8"/>
    <n v="85000"/>
    <n v="0.1"/>
    <n v="612000"/>
    <x v="0"/>
    <x v="2"/>
    <s v="OK"/>
  </r>
  <r>
    <s v="ORD0682"/>
    <x v="372"/>
    <s v="Saad Raza"/>
    <s v="Peshawar"/>
    <x v="5"/>
    <x v="3"/>
    <x v="2"/>
    <n v="5"/>
    <n v="1500"/>
    <n v="0.25"/>
    <n v="5625"/>
    <x v="1"/>
    <x v="0"/>
    <s v="OK"/>
  </r>
  <r>
    <s v="ORD0683"/>
    <x v="235"/>
    <s v="Ali Khan"/>
    <s v="Faisalabad"/>
    <x v="3"/>
    <x v="8"/>
    <x v="0"/>
    <n v="9"/>
    <n v="5000"/>
    <n v="0.15"/>
    <n v="38250"/>
    <x v="4"/>
    <x v="3"/>
    <s v="OK"/>
  </r>
  <r>
    <s v="ORD0684"/>
    <x v="409"/>
    <s v="Iqra Khan"/>
    <s v="Rawalpindi"/>
    <x v="2"/>
    <x v="0"/>
    <x v="0"/>
    <n v="8"/>
    <n v="22000"/>
    <n v="0.15"/>
    <n v="149600"/>
    <x v="4"/>
    <x v="2"/>
    <s v="OK"/>
  </r>
  <r>
    <s v="ORD0685"/>
    <x v="446"/>
    <s v="Hina Shah"/>
    <s v="Lahore"/>
    <x v="1"/>
    <x v="7"/>
    <x v="2"/>
    <n v="5"/>
    <n v="1500"/>
    <n v="0.15"/>
    <n v="6375"/>
    <x v="1"/>
    <x v="0"/>
    <s v="Check Price"/>
  </r>
  <r>
    <s v="ORD0686"/>
    <x v="34"/>
    <s v="Iqra Khan"/>
    <s v="Karachi"/>
    <x v="0"/>
    <x v="10"/>
    <x v="1"/>
    <n v="2"/>
    <n v="5000"/>
    <n v="0.25"/>
    <n v="7500"/>
    <x v="0"/>
    <x v="0"/>
    <s v="Check Price"/>
  </r>
  <r>
    <s v="ORD0687"/>
    <x v="185"/>
    <s v="Hina Shah"/>
    <s v="Multan"/>
    <x v="2"/>
    <x v="1"/>
    <x v="1"/>
    <n v="6"/>
    <n v="30000"/>
    <n v="0.05"/>
    <n v="171000"/>
    <x v="1"/>
    <x v="3"/>
    <s v="Check Price"/>
  </r>
  <r>
    <s v="ORD0688"/>
    <x v="447"/>
    <s v="Hassan Ahmed"/>
    <s v="Quetta"/>
    <x v="4"/>
    <x v="6"/>
    <x v="1"/>
    <n v="4"/>
    <n v="85000"/>
    <n v="0.05"/>
    <n v="323000"/>
    <x v="2"/>
    <x v="2"/>
    <s v="OK"/>
  </r>
  <r>
    <s v="ORD0689"/>
    <x v="448"/>
    <s v="Sana Ali"/>
    <s v="Islamabad"/>
    <x v="2"/>
    <x v="7"/>
    <x v="2"/>
    <n v="10"/>
    <n v="350"/>
    <n v="0.2"/>
    <n v="2800"/>
    <x v="6"/>
    <x v="3"/>
    <s v="OK"/>
  </r>
  <r>
    <s v="ORD0690"/>
    <x v="244"/>
    <s v="Ahmed Raza"/>
    <s v="Rawalpindi"/>
    <x v="5"/>
    <x v="8"/>
    <x v="1"/>
    <n v="8"/>
    <n v="85000"/>
    <n v="0.05"/>
    <n v="646000"/>
    <x v="9"/>
    <x v="1"/>
    <s v="Check Price"/>
  </r>
  <r>
    <s v="ORD0691"/>
    <x v="279"/>
    <s v="Sana Ali"/>
    <s v="Faisalabad"/>
    <x v="3"/>
    <x v="11"/>
    <x v="1"/>
    <n v="9"/>
    <n v="30000"/>
    <n v="0.15"/>
    <n v="229500"/>
    <x v="0"/>
    <x v="2"/>
    <s v="Check Price"/>
  </r>
  <r>
    <s v="ORD0692"/>
    <x v="124"/>
    <s v="Saad Raza"/>
    <s v="Hyderabad"/>
    <x v="3"/>
    <x v="7"/>
    <x v="2"/>
    <n v="3"/>
    <n v="4000"/>
    <n v="0.1"/>
    <n v="10800"/>
    <x v="4"/>
    <x v="2"/>
    <s v="Check Price"/>
  </r>
  <r>
    <s v="ORD0693"/>
    <x v="449"/>
    <s v="Hamza Ali"/>
    <s v="Sialkot"/>
    <x v="3"/>
    <x v="11"/>
    <x v="1"/>
    <n v="7"/>
    <n v="2000"/>
    <n v="0.15"/>
    <n v="11900"/>
    <x v="3"/>
    <x v="3"/>
    <s v="Check Price"/>
  </r>
  <r>
    <s v="ORD0694"/>
    <x v="191"/>
    <s v="Usman Khan"/>
    <s v="Faisalabad"/>
    <x v="0"/>
    <x v="1"/>
    <x v="1"/>
    <n v="1"/>
    <n v="85000"/>
    <n v="0.05"/>
    <n v="80750"/>
    <x v="6"/>
    <x v="2"/>
    <s v="Check Price"/>
  </r>
  <r>
    <s v="ORD0695"/>
    <x v="450"/>
    <s v="Usman Khan"/>
    <s v="Hyderabad"/>
    <x v="4"/>
    <x v="8"/>
    <x v="0"/>
    <n v="9"/>
    <n v="85000"/>
    <n v="0.25"/>
    <n v="573750"/>
    <x v="0"/>
    <x v="3"/>
    <s v="Check Price"/>
  </r>
  <r>
    <s v="ORD0696"/>
    <x v="323"/>
    <s v="Hassan Ahmed"/>
    <s v="Islamabad"/>
    <x v="2"/>
    <x v="6"/>
    <x v="1"/>
    <n v="2"/>
    <n v="85000"/>
    <n v="0.15"/>
    <n v="144500"/>
    <x v="6"/>
    <x v="0"/>
    <s v="OK"/>
  </r>
  <r>
    <s v="ORD0697"/>
    <x v="195"/>
    <s v="Usman Khan"/>
    <s v="Lahore"/>
    <x v="4"/>
    <x v="1"/>
    <x v="0"/>
    <n v="6"/>
    <n v="85000"/>
    <n v="0.15"/>
    <n v="433500"/>
    <x v="6"/>
    <x v="3"/>
    <s v="Check Price"/>
  </r>
  <r>
    <s v="ORD0698"/>
    <x v="272"/>
    <s v="Sana Ali"/>
    <s v="Peshawar"/>
    <x v="3"/>
    <x v="9"/>
    <x v="1"/>
    <n v="3"/>
    <n v="28000"/>
    <n v="0.2"/>
    <n v="67200"/>
    <x v="9"/>
    <x v="0"/>
    <s v="OK"/>
  </r>
  <r>
    <s v="ORD0699"/>
    <x v="93"/>
    <s v="Laiba Khan"/>
    <s v="Islamabad"/>
    <x v="5"/>
    <x v="7"/>
    <x v="0"/>
    <n v="9"/>
    <n v="1500"/>
    <n v="0.25"/>
    <n v="10125"/>
    <x v="3"/>
    <x v="1"/>
    <s v="Check Price"/>
  </r>
  <r>
    <s v="ORD0700"/>
    <x v="451"/>
    <s v="Ayesha Malik"/>
    <s v="Lahore"/>
    <x v="1"/>
    <x v="1"/>
    <x v="1"/>
    <n v="8"/>
    <n v="2000"/>
    <n v="0.2"/>
    <n v="12800"/>
    <x v="6"/>
    <x v="0"/>
    <s v="Check Price"/>
  </r>
  <r>
    <s v="ORD0701"/>
    <x v="223"/>
    <s v="Laiba Khan"/>
    <s v="Faisalabad"/>
    <x v="1"/>
    <x v="8"/>
    <x v="2"/>
    <n v="9"/>
    <n v="22000"/>
    <n v="0.2"/>
    <n v="158400"/>
    <x v="5"/>
    <x v="0"/>
    <s v="Check Price"/>
  </r>
  <r>
    <s v="ORD0702"/>
    <x v="452"/>
    <s v="Mariam Noor"/>
    <s v="Islamabad"/>
    <x v="1"/>
    <x v="1"/>
    <x v="2"/>
    <n v="7"/>
    <n v="30000"/>
    <n v="0.1"/>
    <n v="189000"/>
    <x v="0"/>
    <x v="0"/>
    <s v="Check Price"/>
  </r>
  <r>
    <s v="ORD0703"/>
    <x v="453"/>
    <s v="Saad Raza"/>
    <s v="Hyderabad"/>
    <x v="0"/>
    <x v="5"/>
    <x v="1"/>
    <n v="2"/>
    <n v="28000"/>
    <n v="0.05"/>
    <n v="53200"/>
    <x v="6"/>
    <x v="0"/>
    <s v="Check Price"/>
  </r>
  <r>
    <s v="ORD0704"/>
    <x v="75"/>
    <s v="Hamza Ali"/>
    <s v="Quetta"/>
    <x v="4"/>
    <x v="11"/>
    <x v="0"/>
    <n v="6"/>
    <n v="12000"/>
    <n v="0.05"/>
    <n v="68400"/>
    <x v="5"/>
    <x v="0"/>
    <s v="OK"/>
  </r>
  <r>
    <s v="ORD0705"/>
    <x v="93"/>
    <s v="Iqra Khan"/>
    <s v="Multan"/>
    <x v="3"/>
    <x v="1"/>
    <x v="0"/>
    <n v="10"/>
    <n v="2000"/>
    <n v="0.05"/>
    <n v="19000"/>
    <x v="0"/>
    <x v="0"/>
    <s v="Check Price"/>
  </r>
  <r>
    <s v="ORD0706"/>
    <x v="1"/>
    <s v="Bilal Ahmed"/>
    <s v="Karachi"/>
    <x v="3"/>
    <x v="1"/>
    <x v="2"/>
    <n v="1"/>
    <n v="30000"/>
    <n v="0.2"/>
    <n v="24000"/>
    <x v="5"/>
    <x v="1"/>
    <s v="Check Price"/>
  </r>
  <r>
    <s v="ORD0707"/>
    <x v="19"/>
    <s v="Hassan Ahmed"/>
    <s v="Peshawar"/>
    <x v="4"/>
    <x v="10"/>
    <x v="0"/>
    <n v="3"/>
    <n v="28000"/>
    <n v="0.1"/>
    <n v="75600"/>
    <x v="0"/>
    <x v="1"/>
    <s v="Check Price"/>
  </r>
  <r>
    <s v="ORD0708"/>
    <x v="454"/>
    <s v="Maham Khan"/>
    <s v="Faisalabad"/>
    <x v="5"/>
    <x v="2"/>
    <x v="0"/>
    <n v="10"/>
    <n v="2500"/>
    <n v="0.05"/>
    <n v="23750"/>
    <x v="0"/>
    <x v="2"/>
    <s v="OK"/>
  </r>
  <r>
    <s v="ORD0709"/>
    <x v="348"/>
    <s v="Maham Khan"/>
    <s v="Sialkot"/>
    <x v="3"/>
    <x v="9"/>
    <x v="2"/>
    <n v="5"/>
    <n v="2500"/>
    <n v="0.15"/>
    <n v="10625"/>
    <x v="4"/>
    <x v="2"/>
    <s v="Check Price"/>
  </r>
  <r>
    <s v="ORD0710"/>
    <x v="314"/>
    <s v="Owais Raza"/>
    <s v="Islamabad"/>
    <x v="0"/>
    <x v="6"/>
    <x v="1"/>
    <n v="10"/>
    <n v="85000"/>
    <n v="0.15"/>
    <n v="722500"/>
    <x v="2"/>
    <x v="1"/>
    <s v="OK"/>
  </r>
  <r>
    <s v="ORD0711"/>
    <x v="40"/>
    <s v="Owais Raza"/>
    <s v="Rawalpindi"/>
    <x v="4"/>
    <x v="11"/>
    <x v="1"/>
    <n v="6"/>
    <n v="28000"/>
    <n v="0.1"/>
    <n v="151200"/>
    <x v="0"/>
    <x v="1"/>
    <s v="Check Price"/>
  </r>
  <r>
    <s v="ORD0712"/>
    <x v="455"/>
    <s v="Sana Ali"/>
    <s v="Multan"/>
    <x v="4"/>
    <x v="3"/>
    <x v="2"/>
    <n v="5"/>
    <n v="1500"/>
    <n v="0.1"/>
    <n v="6750"/>
    <x v="5"/>
    <x v="3"/>
    <s v="OK"/>
  </r>
  <r>
    <s v="ORD0713"/>
    <x v="456"/>
    <s v="Ayesha Malik"/>
    <s v="Rawalpindi"/>
    <x v="2"/>
    <x v="4"/>
    <x v="1"/>
    <n v="2"/>
    <n v="2000"/>
    <n v="0.1"/>
    <n v="3600"/>
    <x v="7"/>
    <x v="3"/>
    <s v="Check Price"/>
  </r>
  <r>
    <s v="ORD0714"/>
    <x v="390"/>
    <s v="Sana Ali"/>
    <s v="Hyderabad"/>
    <x v="2"/>
    <x v="6"/>
    <x v="1"/>
    <n v="2"/>
    <n v="85000"/>
    <n v="0.05"/>
    <n v="161500"/>
    <x v="8"/>
    <x v="2"/>
    <s v="OK"/>
  </r>
  <r>
    <s v="ORD0715"/>
    <x v="457"/>
    <s v="Sara Ahmed"/>
    <s v="Karachi"/>
    <x v="3"/>
    <x v="9"/>
    <x v="2"/>
    <n v="4"/>
    <n v="1200"/>
    <n v="0.2"/>
    <n v="3840"/>
    <x v="7"/>
    <x v="3"/>
    <s v="Check Price"/>
  </r>
  <r>
    <s v="ORD0716"/>
    <x v="216"/>
    <s v="Hina Shah"/>
    <s v="Peshawar"/>
    <x v="4"/>
    <x v="1"/>
    <x v="2"/>
    <n v="7"/>
    <n v="2500"/>
    <n v="0.1"/>
    <n v="15750"/>
    <x v="9"/>
    <x v="3"/>
    <s v="Check Price"/>
  </r>
  <r>
    <s v="ORD0717"/>
    <x v="458"/>
    <s v="Fatima Noor"/>
    <s v="Quetta"/>
    <x v="0"/>
    <x v="6"/>
    <x v="1"/>
    <n v="3"/>
    <n v="85000"/>
    <n v="0.15"/>
    <n v="216750"/>
    <x v="7"/>
    <x v="3"/>
    <s v="OK"/>
  </r>
  <r>
    <s v="ORD0718"/>
    <x v="400"/>
    <s v="Ayesha Malik"/>
    <s v="Lahore"/>
    <x v="4"/>
    <x v="9"/>
    <x v="0"/>
    <n v="1"/>
    <n v="85000"/>
    <n v="0.05"/>
    <n v="80750"/>
    <x v="3"/>
    <x v="2"/>
    <s v="Check Price"/>
  </r>
  <r>
    <s v="ORD0719"/>
    <x v="89"/>
    <s v="Maham Khan"/>
    <s v="Rawalpindi"/>
    <x v="3"/>
    <x v="1"/>
    <x v="1"/>
    <n v="3"/>
    <n v="350"/>
    <n v="0.05"/>
    <n v="997.5"/>
    <x v="3"/>
    <x v="3"/>
    <s v="Check Price"/>
  </r>
  <r>
    <s v="ORD0720"/>
    <x v="459"/>
    <s v="Sana Ali"/>
    <s v="Karachi"/>
    <x v="3"/>
    <x v="3"/>
    <x v="2"/>
    <n v="5"/>
    <n v="1500"/>
    <n v="0.15"/>
    <n v="6375"/>
    <x v="5"/>
    <x v="0"/>
    <s v="OK"/>
  </r>
  <r>
    <s v="ORD0721"/>
    <x v="391"/>
    <s v="Mariam Noor"/>
    <s v="Rawalpindi"/>
    <x v="5"/>
    <x v="11"/>
    <x v="1"/>
    <n v="6"/>
    <n v="28000"/>
    <n v="0.1"/>
    <n v="151200"/>
    <x v="3"/>
    <x v="1"/>
    <s v="Check Price"/>
  </r>
  <r>
    <s v="ORD0722"/>
    <x v="422"/>
    <s v="Mariam Noor"/>
    <s v="Rawalpindi"/>
    <x v="2"/>
    <x v="5"/>
    <x v="0"/>
    <n v="8"/>
    <n v="2500"/>
    <n v="0.05"/>
    <n v="19000"/>
    <x v="2"/>
    <x v="0"/>
    <s v="Check Price"/>
  </r>
  <r>
    <s v="ORD0723"/>
    <x v="288"/>
    <s v="Bilal Ahmed"/>
    <s v="Faisalabad"/>
    <x v="2"/>
    <x v="4"/>
    <x v="2"/>
    <n v="6"/>
    <n v="22000"/>
    <n v="0.1"/>
    <n v="118800"/>
    <x v="8"/>
    <x v="0"/>
    <s v="Check Price"/>
  </r>
  <r>
    <s v="ORD0724"/>
    <x v="460"/>
    <s v="Laiba Khan"/>
    <s v="Hyderabad"/>
    <x v="0"/>
    <x v="6"/>
    <x v="1"/>
    <n v="8"/>
    <n v="85000"/>
    <n v="0.1"/>
    <n v="612000"/>
    <x v="5"/>
    <x v="3"/>
    <s v="OK"/>
  </r>
  <r>
    <s v="ORD0725"/>
    <x v="390"/>
    <s v="Hassan Ahmed"/>
    <s v="Multan"/>
    <x v="2"/>
    <x v="8"/>
    <x v="1"/>
    <n v="2"/>
    <n v="1500"/>
    <n v="0.1"/>
    <n v="2700"/>
    <x v="8"/>
    <x v="1"/>
    <s v="Check Price"/>
  </r>
  <r>
    <s v="ORD0726"/>
    <x v="71"/>
    <s v="Danish Malik"/>
    <s v="Multan"/>
    <x v="2"/>
    <x v="2"/>
    <x v="0"/>
    <n v="6"/>
    <n v="5000"/>
    <n v="0.15"/>
    <n v="25500"/>
    <x v="5"/>
    <x v="3"/>
    <s v="Check Price"/>
  </r>
  <r>
    <s v="ORD0727"/>
    <x v="461"/>
    <s v="Ali Khan"/>
    <s v="Rawalpindi"/>
    <x v="5"/>
    <x v="1"/>
    <x v="2"/>
    <n v="2"/>
    <n v="85000"/>
    <n v="0.15"/>
    <n v="144500"/>
    <x v="9"/>
    <x v="1"/>
    <s v="Check Price"/>
  </r>
  <r>
    <s v="ORD0728"/>
    <x v="462"/>
    <s v="Usman Khan"/>
    <s v="Lahore"/>
    <x v="0"/>
    <x v="11"/>
    <x v="1"/>
    <n v="2"/>
    <n v="22000"/>
    <n v="0.25"/>
    <n v="33000"/>
    <x v="4"/>
    <x v="3"/>
    <s v="Check Price"/>
  </r>
  <r>
    <s v="ORD0729"/>
    <x v="42"/>
    <s v="Mariam Noor"/>
    <s v="Quetta"/>
    <x v="2"/>
    <x v="1"/>
    <x v="1"/>
    <n v="2"/>
    <n v="28000"/>
    <n v="0.25"/>
    <n v="42000"/>
    <x v="7"/>
    <x v="0"/>
    <s v="Check Price"/>
  </r>
  <r>
    <s v="ORD0730"/>
    <x v="234"/>
    <s v="Danish Malik"/>
    <s v="Karachi"/>
    <x v="3"/>
    <x v="10"/>
    <x v="2"/>
    <n v="9"/>
    <n v="350"/>
    <n v="0.1"/>
    <n v="2835"/>
    <x v="1"/>
    <x v="0"/>
    <s v="Check Price"/>
  </r>
  <r>
    <s v="ORD0731"/>
    <x v="154"/>
    <s v="Fatima Noor"/>
    <s v="Sialkot"/>
    <x v="2"/>
    <x v="3"/>
    <x v="2"/>
    <n v="7"/>
    <n v="1500"/>
    <n v="0.1"/>
    <n v="9450"/>
    <x v="1"/>
    <x v="3"/>
    <s v="OK"/>
  </r>
  <r>
    <s v="ORD0732"/>
    <x v="463"/>
    <s v="Talha Ahmed"/>
    <s v="Faisalabad"/>
    <x v="1"/>
    <x v="2"/>
    <x v="1"/>
    <n v="8"/>
    <n v="1200"/>
    <n v="0.1"/>
    <n v="8640"/>
    <x v="4"/>
    <x v="1"/>
    <s v="Check Price"/>
  </r>
  <r>
    <s v="ORD0733"/>
    <x v="164"/>
    <s v="Ayesha Malik"/>
    <s v="Rawalpindi"/>
    <x v="2"/>
    <x v="4"/>
    <x v="1"/>
    <n v="6"/>
    <n v="85000"/>
    <n v="0.25"/>
    <n v="382500"/>
    <x v="2"/>
    <x v="0"/>
    <s v="Check Price"/>
  </r>
  <r>
    <s v="ORD0734"/>
    <x v="339"/>
    <s v="Maham Khan"/>
    <s v="Karachi"/>
    <x v="1"/>
    <x v="2"/>
    <x v="0"/>
    <n v="4"/>
    <n v="5000"/>
    <n v="0.25"/>
    <n v="15000"/>
    <x v="4"/>
    <x v="0"/>
    <s v="Check Price"/>
  </r>
  <r>
    <s v="ORD0735"/>
    <x v="100"/>
    <s v="Saad Raza"/>
    <s v="Rawalpindi"/>
    <x v="4"/>
    <x v="7"/>
    <x v="2"/>
    <n v="10"/>
    <n v="22000"/>
    <n v="0.2"/>
    <n v="176000"/>
    <x v="2"/>
    <x v="3"/>
    <s v="Check Price"/>
  </r>
  <r>
    <s v="ORD0736"/>
    <x v="464"/>
    <s v="Owais Raza"/>
    <s v="Multan"/>
    <x v="3"/>
    <x v="6"/>
    <x v="1"/>
    <n v="2"/>
    <n v="85000"/>
    <n v="0.1"/>
    <n v="153000"/>
    <x v="7"/>
    <x v="1"/>
    <s v="OK"/>
  </r>
  <r>
    <s v="ORD0737"/>
    <x v="408"/>
    <s v="Mariam Noor"/>
    <s v="Lahore"/>
    <x v="4"/>
    <x v="8"/>
    <x v="1"/>
    <n v="6"/>
    <n v="2500"/>
    <n v="0.25"/>
    <n v="11250"/>
    <x v="1"/>
    <x v="1"/>
    <s v="Check Price"/>
  </r>
  <r>
    <s v="ORD0738"/>
    <x v="422"/>
    <s v="Fatima Noor"/>
    <s v="Hyderabad"/>
    <x v="3"/>
    <x v="8"/>
    <x v="1"/>
    <n v="3"/>
    <n v="85000"/>
    <n v="0.1"/>
    <n v="229500"/>
    <x v="4"/>
    <x v="3"/>
    <s v="Check Price"/>
  </r>
  <r>
    <s v="ORD0739"/>
    <x v="370"/>
    <s v="Laiba Khan"/>
    <s v="Multan"/>
    <x v="2"/>
    <x v="11"/>
    <x v="0"/>
    <n v="6"/>
    <n v="1200"/>
    <n v="0.05"/>
    <n v="6840"/>
    <x v="9"/>
    <x v="1"/>
    <s v="Check Price"/>
  </r>
  <r>
    <s v="ORD0740"/>
    <x v="465"/>
    <s v="Danish Malik"/>
    <s v="Karachi"/>
    <x v="1"/>
    <x v="0"/>
    <x v="0"/>
    <n v="1"/>
    <n v="22000"/>
    <n v="0.25"/>
    <n v="16500"/>
    <x v="9"/>
    <x v="0"/>
    <s v="OK"/>
  </r>
  <r>
    <s v="ORD0741"/>
    <x v="185"/>
    <s v="Iqra Khan"/>
    <s v="Islamabad"/>
    <x v="3"/>
    <x v="11"/>
    <x v="0"/>
    <n v="7"/>
    <n v="2000"/>
    <n v="0.05"/>
    <n v="13300"/>
    <x v="9"/>
    <x v="0"/>
    <s v="Check Price"/>
  </r>
  <r>
    <s v="ORD0742"/>
    <x v="458"/>
    <s v="Usman Khan"/>
    <s v="Sialkot"/>
    <x v="5"/>
    <x v="11"/>
    <x v="0"/>
    <n v="6"/>
    <n v="12000"/>
    <n v="0.1"/>
    <n v="64800"/>
    <x v="7"/>
    <x v="2"/>
    <s v="OK"/>
  </r>
  <r>
    <s v="ORD0743"/>
    <x v="466"/>
    <s v="Owais Raza"/>
    <s v="Peshawar"/>
    <x v="4"/>
    <x v="0"/>
    <x v="0"/>
    <n v="5"/>
    <n v="22000"/>
    <n v="0.05"/>
    <n v="104500"/>
    <x v="5"/>
    <x v="0"/>
    <s v="OK"/>
  </r>
  <r>
    <s v="ORD0744"/>
    <x v="268"/>
    <s v="Ahmed Raza"/>
    <s v="Quetta"/>
    <x v="3"/>
    <x v="4"/>
    <x v="1"/>
    <n v="1"/>
    <n v="1200"/>
    <n v="0.25"/>
    <n v="900"/>
    <x v="6"/>
    <x v="1"/>
    <s v="Check Price"/>
  </r>
  <r>
    <s v="ORD0745"/>
    <x v="467"/>
    <s v="Talha Ahmed"/>
    <s v="Faisalabad"/>
    <x v="2"/>
    <x v="4"/>
    <x v="0"/>
    <n v="2"/>
    <n v="12000"/>
    <n v="0.15"/>
    <n v="20400"/>
    <x v="0"/>
    <x v="3"/>
    <s v="Check Price"/>
  </r>
  <r>
    <s v="ORD0746"/>
    <x v="356"/>
    <s v="Mariam Noor"/>
    <s v="Lahore"/>
    <x v="0"/>
    <x v="3"/>
    <x v="2"/>
    <n v="2"/>
    <n v="1500"/>
    <n v="0.05"/>
    <n v="2850"/>
    <x v="5"/>
    <x v="3"/>
    <s v="OK"/>
  </r>
  <r>
    <s v="ORD0747"/>
    <x v="314"/>
    <s v="Bilal Ahmed"/>
    <s v="Hyderabad"/>
    <x v="5"/>
    <x v="11"/>
    <x v="0"/>
    <n v="3"/>
    <n v="28000"/>
    <n v="0.1"/>
    <n v="75600"/>
    <x v="9"/>
    <x v="0"/>
    <s v="Check Price"/>
  </r>
  <r>
    <s v="ORD0748"/>
    <x v="73"/>
    <s v="Iqra Khan"/>
    <s v="Rawalpindi"/>
    <x v="4"/>
    <x v="11"/>
    <x v="0"/>
    <n v="6"/>
    <n v="1200"/>
    <n v="0.05"/>
    <n v="6840"/>
    <x v="0"/>
    <x v="1"/>
    <s v="Check Price"/>
  </r>
  <r>
    <s v="ORD0749"/>
    <x v="65"/>
    <s v="Usman Khan"/>
    <s v="Multan"/>
    <x v="3"/>
    <x v="5"/>
    <x v="2"/>
    <n v="3"/>
    <n v="12000"/>
    <n v="0.2"/>
    <n v="28800"/>
    <x v="7"/>
    <x v="0"/>
    <s v="Check Price"/>
  </r>
  <r>
    <s v="ORD0750"/>
    <x v="96"/>
    <s v="Saad Raza"/>
    <s v="Hyderabad"/>
    <x v="3"/>
    <x v="0"/>
    <x v="0"/>
    <n v="9"/>
    <n v="22000"/>
    <n v="0.15"/>
    <n v="168300"/>
    <x v="3"/>
    <x v="0"/>
    <s v="OK"/>
  </r>
  <r>
    <s v="ORD0751"/>
    <x v="468"/>
    <s v="Sana Ali"/>
    <s v="Multan"/>
    <x v="4"/>
    <x v="6"/>
    <x v="1"/>
    <n v="6"/>
    <n v="85000"/>
    <n v="0.2"/>
    <n v="408000"/>
    <x v="3"/>
    <x v="1"/>
    <s v="OK"/>
  </r>
  <r>
    <s v="ORD0752"/>
    <x v="275"/>
    <s v="Ayesha Malik"/>
    <s v="Islamabad"/>
    <x v="4"/>
    <x v="0"/>
    <x v="0"/>
    <n v="10"/>
    <n v="22000"/>
    <n v="0.15"/>
    <n v="187000"/>
    <x v="6"/>
    <x v="2"/>
    <s v="OK"/>
  </r>
  <r>
    <s v="ORD0753"/>
    <x v="413"/>
    <s v="Ayesha Malik"/>
    <s v="Faisalabad"/>
    <x v="1"/>
    <x v="7"/>
    <x v="0"/>
    <n v="6"/>
    <n v="85000"/>
    <n v="0.2"/>
    <n v="408000"/>
    <x v="2"/>
    <x v="1"/>
    <s v="Check Price"/>
  </r>
  <r>
    <s v="ORD0754"/>
    <x v="469"/>
    <s v="Saad Raza"/>
    <s v="Islamabad"/>
    <x v="4"/>
    <x v="2"/>
    <x v="2"/>
    <n v="8"/>
    <n v="350"/>
    <n v="0.15"/>
    <n v="2380"/>
    <x v="8"/>
    <x v="1"/>
    <s v="Check Price"/>
  </r>
  <r>
    <s v="ORD0755"/>
    <x v="470"/>
    <s v="Hamza Ali"/>
    <s v="Karachi"/>
    <x v="0"/>
    <x v="3"/>
    <x v="2"/>
    <n v="10"/>
    <n v="1500"/>
    <n v="0.2"/>
    <n v="12000"/>
    <x v="2"/>
    <x v="3"/>
    <s v="OK"/>
  </r>
  <r>
    <s v="ORD0756"/>
    <x v="263"/>
    <s v="Talha Ahmed"/>
    <s v="Faisalabad"/>
    <x v="0"/>
    <x v="10"/>
    <x v="0"/>
    <n v="2"/>
    <n v="5000"/>
    <n v="0.25"/>
    <n v="7500"/>
    <x v="3"/>
    <x v="1"/>
    <s v="Check Price"/>
  </r>
  <r>
    <s v="ORD0757"/>
    <x v="432"/>
    <s v="Owais Raza"/>
    <s v="Hyderabad"/>
    <x v="1"/>
    <x v="11"/>
    <x v="2"/>
    <n v="7"/>
    <n v="1200"/>
    <n v="0.25"/>
    <n v="6300"/>
    <x v="8"/>
    <x v="0"/>
    <s v="Check Price"/>
  </r>
  <r>
    <s v="ORD0758"/>
    <x v="471"/>
    <s v="Maham Khan"/>
    <s v="Multan"/>
    <x v="0"/>
    <x v="7"/>
    <x v="2"/>
    <n v="5"/>
    <n v="2000"/>
    <n v="0.1"/>
    <n v="9000"/>
    <x v="5"/>
    <x v="2"/>
    <s v="Check Price"/>
  </r>
  <r>
    <s v="ORD0759"/>
    <x v="467"/>
    <s v="Mariam Noor"/>
    <s v="Lahore"/>
    <x v="2"/>
    <x v="2"/>
    <x v="0"/>
    <n v="1"/>
    <n v="1200"/>
    <n v="0.25"/>
    <n v="900"/>
    <x v="1"/>
    <x v="0"/>
    <s v="Check Price"/>
  </r>
  <r>
    <s v="ORD0760"/>
    <x v="472"/>
    <s v="Saad Raza"/>
    <s v="Multan"/>
    <x v="3"/>
    <x v="9"/>
    <x v="2"/>
    <n v="2"/>
    <n v="1500"/>
    <n v="0.25"/>
    <n v="2250"/>
    <x v="0"/>
    <x v="2"/>
    <s v="Check Price"/>
  </r>
  <r>
    <s v="ORD0761"/>
    <x v="428"/>
    <s v="Iqra Khan"/>
    <s v="Peshawar"/>
    <x v="4"/>
    <x v="9"/>
    <x v="1"/>
    <n v="9"/>
    <n v="1200"/>
    <n v="0.25"/>
    <n v="8100"/>
    <x v="6"/>
    <x v="3"/>
    <s v="Check Price"/>
  </r>
  <r>
    <s v="ORD0762"/>
    <x v="473"/>
    <s v="Owais Raza"/>
    <s v="Faisalabad"/>
    <x v="5"/>
    <x v="0"/>
    <x v="0"/>
    <n v="3"/>
    <n v="22000"/>
    <n v="0.05"/>
    <n v="62700"/>
    <x v="7"/>
    <x v="3"/>
    <s v="OK"/>
  </r>
  <r>
    <s v="ORD0763"/>
    <x v="204"/>
    <s v="Sara Ahmed"/>
    <s v="Faisalabad"/>
    <x v="0"/>
    <x v="8"/>
    <x v="2"/>
    <n v="4"/>
    <n v="350"/>
    <n v="0.05"/>
    <n v="1330"/>
    <x v="8"/>
    <x v="2"/>
    <s v="Check Price"/>
  </r>
  <r>
    <s v="ORD0764"/>
    <x v="474"/>
    <s v="Mariam Noor"/>
    <s v="Multan"/>
    <x v="4"/>
    <x v="2"/>
    <x v="1"/>
    <n v="7"/>
    <n v="1500"/>
    <n v="0.05"/>
    <n v="9975"/>
    <x v="5"/>
    <x v="3"/>
    <s v="Check Price"/>
  </r>
  <r>
    <s v="ORD0765"/>
    <x v="87"/>
    <s v="Hassan Ahmed"/>
    <s v="Karachi"/>
    <x v="4"/>
    <x v="9"/>
    <x v="0"/>
    <n v="6"/>
    <n v="28000"/>
    <n v="0.05"/>
    <n v="159600"/>
    <x v="5"/>
    <x v="2"/>
    <s v="OK"/>
  </r>
  <r>
    <s v="ORD0766"/>
    <x v="475"/>
    <s v="Laiba Khan"/>
    <s v="Hyderabad"/>
    <x v="4"/>
    <x v="10"/>
    <x v="1"/>
    <n v="1"/>
    <n v="2000"/>
    <n v="0.25"/>
    <n v="1500"/>
    <x v="3"/>
    <x v="2"/>
    <s v="Check Price"/>
  </r>
  <r>
    <s v="ORD0767"/>
    <x v="476"/>
    <s v="Ayesha Malik"/>
    <s v="Islamabad"/>
    <x v="4"/>
    <x v="7"/>
    <x v="2"/>
    <n v="6"/>
    <n v="1200"/>
    <n v="0.25"/>
    <n v="5400"/>
    <x v="0"/>
    <x v="1"/>
    <s v="Check Price"/>
  </r>
  <r>
    <s v="ORD0768"/>
    <x v="477"/>
    <s v="Saad Raza"/>
    <s v="Lahore"/>
    <x v="3"/>
    <x v="10"/>
    <x v="2"/>
    <n v="1"/>
    <n v="5000"/>
    <n v="0.1"/>
    <n v="4500"/>
    <x v="0"/>
    <x v="2"/>
    <s v="Check Price"/>
  </r>
  <r>
    <s v="ORD0769"/>
    <x v="478"/>
    <s v="Ahmed Raza"/>
    <s v="Islamabad"/>
    <x v="4"/>
    <x v="7"/>
    <x v="0"/>
    <n v="2"/>
    <n v="1500"/>
    <n v="0.05"/>
    <n v="2850"/>
    <x v="8"/>
    <x v="1"/>
    <s v="Check Price"/>
  </r>
  <r>
    <s v="ORD0770"/>
    <x v="114"/>
    <s v="Hamza Ali"/>
    <s v="Islamabad"/>
    <x v="2"/>
    <x v="0"/>
    <x v="0"/>
    <n v="2"/>
    <n v="22000"/>
    <n v="0.15"/>
    <n v="37400"/>
    <x v="9"/>
    <x v="1"/>
    <s v="OK"/>
  </r>
  <r>
    <s v="ORD0771"/>
    <x v="479"/>
    <s v="Hamza Ali"/>
    <s v="Islamabad"/>
    <x v="4"/>
    <x v="9"/>
    <x v="1"/>
    <n v="7"/>
    <n v="12000"/>
    <n v="0.05"/>
    <n v="79800"/>
    <x v="2"/>
    <x v="3"/>
    <s v="Check Price"/>
  </r>
  <r>
    <s v="ORD0772"/>
    <x v="480"/>
    <s v="Zain Malik"/>
    <s v="Lahore"/>
    <x v="2"/>
    <x v="0"/>
    <x v="0"/>
    <n v="1"/>
    <n v="22000"/>
    <n v="0.1"/>
    <n v="19800"/>
    <x v="6"/>
    <x v="3"/>
    <s v="OK"/>
  </r>
  <r>
    <s v="ORD0773"/>
    <x v="171"/>
    <s v="Danish Malik"/>
    <s v="Peshawar"/>
    <x v="3"/>
    <x v="1"/>
    <x v="2"/>
    <n v="2"/>
    <n v="12000"/>
    <n v="0.25"/>
    <n v="18000"/>
    <x v="3"/>
    <x v="2"/>
    <s v="Check Price"/>
  </r>
  <r>
    <s v="ORD0774"/>
    <x v="481"/>
    <s v="Hamza Ali"/>
    <s v="Peshawar"/>
    <x v="4"/>
    <x v="11"/>
    <x v="2"/>
    <n v="8"/>
    <n v="2500"/>
    <n v="0.2"/>
    <n v="16000"/>
    <x v="4"/>
    <x v="2"/>
    <s v="Check Price"/>
  </r>
  <r>
    <s v="ORD0775"/>
    <x v="405"/>
    <s v="Hamza Ali"/>
    <s v="Islamabad"/>
    <x v="4"/>
    <x v="4"/>
    <x v="2"/>
    <n v="10"/>
    <n v="30000"/>
    <n v="0.05"/>
    <n v="285000"/>
    <x v="0"/>
    <x v="3"/>
    <s v="OK"/>
  </r>
  <r>
    <s v="ORD0776"/>
    <x v="290"/>
    <s v="Ayesha Malik"/>
    <s v="Islamabad"/>
    <x v="5"/>
    <x v="11"/>
    <x v="0"/>
    <n v="4"/>
    <n v="2500"/>
    <n v="0.1"/>
    <n v="9000"/>
    <x v="2"/>
    <x v="1"/>
    <s v="Check Price"/>
  </r>
  <r>
    <s v="ORD0777"/>
    <x v="423"/>
    <s v="Talha Ahmed"/>
    <s v="Lahore"/>
    <x v="4"/>
    <x v="2"/>
    <x v="0"/>
    <n v="5"/>
    <n v="1500"/>
    <n v="0.15"/>
    <n v="6375"/>
    <x v="2"/>
    <x v="0"/>
    <s v="Check Price"/>
  </r>
  <r>
    <s v="ORD0778"/>
    <x v="482"/>
    <s v="Bilal Ahmed"/>
    <s v="Multan"/>
    <x v="5"/>
    <x v="8"/>
    <x v="0"/>
    <n v="4"/>
    <n v="350"/>
    <n v="0.2"/>
    <n v="1120"/>
    <x v="1"/>
    <x v="2"/>
    <s v="Check Price"/>
  </r>
  <r>
    <s v="ORD0779"/>
    <x v="483"/>
    <s v="Sana Ali"/>
    <s v="Lahore"/>
    <x v="0"/>
    <x v="2"/>
    <x v="1"/>
    <n v="2"/>
    <n v="1500"/>
    <n v="0.15"/>
    <n v="2550"/>
    <x v="6"/>
    <x v="2"/>
    <s v="Check Price"/>
  </r>
  <r>
    <s v="ORD0780"/>
    <x v="352"/>
    <s v="Hassan Ahmed"/>
    <s v="Sialkot"/>
    <x v="2"/>
    <x v="5"/>
    <x v="2"/>
    <n v="1"/>
    <n v="1500"/>
    <n v="0.15"/>
    <n v="1275"/>
    <x v="6"/>
    <x v="3"/>
    <s v="Check Price"/>
  </r>
  <r>
    <s v="ORD0781"/>
    <x v="159"/>
    <s v="Hamza Ali"/>
    <s v="Karachi"/>
    <x v="4"/>
    <x v="4"/>
    <x v="2"/>
    <n v="8"/>
    <n v="4000"/>
    <n v="0.25"/>
    <n v="24000"/>
    <x v="4"/>
    <x v="1"/>
    <s v="Check Price"/>
  </r>
  <r>
    <s v="ORD0782"/>
    <x v="484"/>
    <s v="Maham Khan"/>
    <s v="Faisalabad"/>
    <x v="2"/>
    <x v="7"/>
    <x v="0"/>
    <n v="7"/>
    <n v="2500"/>
    <n v="0.25"/>
    <n v="13125"/>
    <x v="5"/>
    <x v="0"/>
    <s v="Check Price"/>
  </r>
  <r>
    <s v="ORD0783"/>
    <x v="485"/>
    <s v="Ali Khan"/>
    <s v="Quetta"/>
    <x v="2"/>
    <x v="7"/>
    <x v="2"/>
    <n v="9"/>
    <n v="30000"/>
    <n v="0.25"/>
    <n v="202500"/>
    <x v="0"/>
    <x v="3"/>
    <s v="Check Price"/>
  </r>
  <r>
    <s v="ORD0784"/>
    <x v="157"/>
    <s v="Owais Raza"/>
    <s v="Sialkot"/>
    <x v="4"/>
    <x v="3"/>
    <x v="2"/>
    <n v="3"/>
    <n v="1500"/>
    <n v="0.1"/>
    <n v="4050"/>
    <x v="5"/>
    <x v="2"/>
    <s v="OK"/>
  </r>
  <r>
    <s v="ORD0785"/>
    <x v="221"/>
    <s v="Hassan Ahmed"/>
    <s v="Peshawar"/>
    <x v="2"/>
    <x v="10"/>
    <x v="2"/>
    <n v="3"/>
    <n v="2500"/>
    <n v="0.1"/>
    <n v="6750"/>
    <x v="1"/>
    <x v="3"/>
    <s v="Check Price"/>
  </r>
  <r>
    <s v="ORD0786"/>
    <x v="215"/>
    <s v="Ali Khan"/>
    <s v="Sialkot"/>
    <x v="0"/>
    <x v="11"/>
    <x v="2"/>
    <n v="5"/>
    <n v="22000"/>
    <n v="0.05"/>
    <n v="104500"/>
    <x v="0"/>
    <x v="0"/>
    <s v="Check Price"/>
  </r>
  <r>
    <s v="ORD0787"/>
    <x v="415"/>
    <s v="Danish Malik"/>
    <s v="Peshawar"/>
    <x v="2"/>
    <x v="9"/>
    <x v="2"/>
    <n v="2"/>
    <n v="350"/>
    <n v="0.25"/>
    <n v="525"/>
    <x v="8"/>
    <x v="0"/>
    <s v="Check Price"/>
  </r>
  <r>
    <s v="ORD0788"/>
    <x v="407"/>
    <s v="Ayesha Malik"/>
    <s v="Hyderabad"/>
    <x v="3"/>
    <x v="9"/>
    <x v="1"/>
    <n v="8"/>
    <n v="1500"/>
    <n v="0.25"/>
    <n v="9000"/>
    <x v="0"/>
    <x v="3"/>
    <s v="Check Price"/>
  </r>
  <r>
    <s v="ORD0789"/>
    <x v="366"/>
    <s v="Laiba Khan"/>
    <s v="Karachi"/>
    <x v="1"/>
    <x v="1"/>
    <x v="1"/>
    <n v="10"/>
    <n v="2500"/>
    <n v="0.2"/>
    <n v="20000"/>
    <x v="1"/>
    <x v="3"/>
    <s v="Check Price"/>
  </r>
  <r>
    <s v="ORD0790"/>
    <x v="136"/>
    <s v="Bilal Ahmed"/>
    <s v="Islamabad"/>
    <x v="2"/>
    <x v="5"/>
    <x v="1"/>
    <n v="7"/>
    <n v="1200"/>
    <n v="0.2"/>
    <n v="6720"/>
    <x v="2"/>
    <x v="3"/>
    <s v="Check Price"/>
  </r>
  <r>
    <s v="ORD0791"/>
    <x v="234"/>
    <s v="Danish Malik"/>
    <s v="Faisalabad"/>
    <x v="0"/>
    <x v="8"/>
    <x v="0"/>
    <n v="10"/>
    <n v="28000"/>
    <n v="0.1"/>
    <n v="252000"/>
    <x v="6"/>
    <x v="0"/>
    <s v="Check Price"/>
  </r>
  <r>
    <s v="ORD0792"/>
    <x v="485"/>
    <s v="Sara Ahmed"/>
    <s v="Peshawar"/>
    <x v="4"/>
    <x v="1"/>
    <x v="0"/>
    <n v="6"/>
    <n v="1200"/>
    <n v="0.25"/>
    <n v="5400"/>
    <x v="4"/>
    <x v="3"/>
    <s v="Check Price"/>
  </r>
  <r>
    <s v="ORD0793"/>
    <x v="458"/>
    <s v="Danish Malik"/>
    <s v="Rawalpindi"/>
    <x v="5"/>
    <x v="10"/>
    <x v="2"/>
    <n v="5"/>
    <n v="350"/>
    <n v="0.1"/>
    <n v="1575"/>
    <x v="6"/>
    <x v="1"/>
    <s v="Check Price"/>
  </r>
  <r>
    <s v="ORD0794"/>
    <x v="413"/>
    <s v="Hassan Ahmed"/>
    <s v="Faisalabad"/>
    <x v="2"/>
    <x v="0"/>
    <x v="0"/>
    <n v="2"/>
    <n v="22000"/>
    <n v="0.1"/>
    <n v="39600"/>
    <x v="5"/>
    <x v="0"/>
    <s v="OK"/>
  </r>
  <r>
    <s v="ORD0795"/>
    <x v="486"/>
    <s v="Ahmed Raza"/>
    <s v="Islamabad"/>
    <x v="3"/>
    <x v="11"/>
    <x v="1"/>
    <n v="1"/>
    <n v="350"/>
    <n v="0.05"/>
    <n v="332.5"/>
    <x v="1"/>
    <x v="2"/>
    <s v="Check Price"/>
  </r>
  <r>
    <s v="ORD0796"/>
    <x v="487"/>
    <s v="Bilal Ahmed"/>
    <s v="Multan"/>
    <x v="5"/>
    <x v="8"/>
    <x v="2"/>
    <n v="8"/>
    <n v="28000"/>
    <n v="0.05"/>
    <n v="212800"/>
    <x v="3"/>
    <x v="3"/>
    <s v="Check Price"/>
  </r>
  <r>
    <s v="ORD0797"/>
    <x v="488"/>
    <s v="Ayesha Malik"/>
    <s v="Rawalpindi"/>
    <x v="5"/>
    <x v="9"/>
    <x v="1"/>
    <n v="4"/>
    <n v="28000"/>
    <n v="0.1"/>
    <n v="100800"/>
    <x v="4"/>
    <x v="2"/>
    <s v="OK"/>
  </r>
  <r>
    <s v="ORD0798"/>
    <x v="68"/>
    <s v="Owais Raza"/>
    <s v="Multan"/>
    <x v="2"/>
    <x v="4"/>
    <x v="0"/>
    <n v="9"/>
    <n v="1500"/>
    <n v="0.15"/>
    <n v="11475"/>
    <x v="1"/>
    <x v="0"/>
    <s v="Check Price"/>
  </r>
  <r>
    <s v="ORD0799"/>
    <x v="489"/>
    <s v="Ayesha Malik"/>
    <s v="Karachi"/>
    <x v="1"/>
    <x v="11"/>
    <x v="2"/>
    <n v="9"/>
    <n v="350"/>
    <n v="0.25"/>
    <n v="2362.5"/>
    <x v="8"/>
    <x v="1"/>
    <s v="Check Price"/>
  </r>
  <r>
    <s v="ORD0800"/>
    <x v="490"/>
    <s v="Saad Raza"/>
    <s v="Hyderabad"/>
    <x v="2"/>
    <x v="10"/>
    <x v="2"/>
    <n v="2"/>
    <n v="350"/>
    <n v="0.2"/>
    <n v="560"/>
    <x v="9"/>
    <x v="3"/>
    <s v="Check Price"/>
  </r>
  <r>
    <s v="ORD0801"/>
    <x v="452"/>
    <s v="Fatima Noor"/>
    <s v="Quetta"/>
    <x v="5"/>
    <x v="7"/>
    <x v="1"/>
    <n v="2"/>
    <n v="85000"/>
    <n v="0.2"/>
    <n v="136000"/>
    <x v="6"/>
    <x v="2"/>
    <s v="Check Price"/>
  </r>
  <r>
    <s v="ORD0802"/>
    <x v="410"/>
    <s v="Owais Raza"/>
    <s v="Peshawar"/>
    <x v="2"/>
    <x v="0"/>
    <x v="0"/>
    <n v="4"/>
    <n v="22000"/>
    <n v="0.25"/>
    <n v="66000"/>
    <x v="2"/>
    <x v="1"/>
    <s v="OK"/>
  </r>
  <r>
    <s v="ORD0803"/>
    <x v="91"/>
    <s v="Owais Raza"/>
    <s v="Multan"/>
    <x v="5"/>
    <x v="9"/>
    <x v="0"/>
    <n v="3"/>
    <n v="4000"/>
    <n v="0.15"/>
    <n v="10200"/>
    <x v="0"/>
    <x v="2"/>
    <s v="Check Price"/>
  </r>
  <r>
    <s v="ORD0804"/>
    <x v="426"/>
    <s v="Bilal Ahmed"/>
    <s v="Islamabad"/>
    <x v="5"/>
    <x v="11"/>
    <x v="0"/>
    <n v="7"/>
    <n v="30000"/>
    <n v="0.2"/>
    <n v="168000"/>
    <x v="0"/>
    <x v="3"/>
    <s v="Check Price"/>
  </r>
  <r>
    <s v="ORD0805"/>
    <x v="216"/>
    <s v="Ayesha Malik"/>
    <s v="Faisalabad"/>
    <x v="5"/>
    <x v="2"/>
    <x v="0"/>
    <n v="8"/>
    <n v="85000"/>
    <n v="0.1"/>
    <n v="612000"/>
    <x v="7"/>
    <x v="2"/>
    <s v="Check Price"/>
  </r>
  <r>
    <s v="ORD0806"/>
    <x v="491"/>
    <s v="Laiba Khan"/>
    <s v="Quetta"/>
    <x v="3"/>
    <x v="3"/>
    <x v="2"/>
    <n v="9"/>
    <n v="1500"/>
    <n v="0.1"/>
    <n v="12150"/>
    <x v="0"/>
    <x v="2"/>
    <s v="OK"/>
  </r>
  <r>
    <s v="ORD0807"/>
    <x v="233"/>
    <s v="Sana Ali"/>
    <s v="Islamabad"/>
    <x v="5"/>
    <x v="1"/>
    <x v="1"/>
    <n v="8"/>
    <n v="2500"/>
    <n v="0.25"/>
    <n v="15000"/>
    <x v="0"/>
    <x v="2"/>
    <s v="Check Price"/>
  </r>
  <r>
    <s v="ORD0808"/>
    <x v="453"/>
    <s v="Hamza Ali"/>
    <s v="Islamabad"/>
    <x v="2"/>
    <x v="6"/>
    <x v="1"/>
    <n v="1"/>
    <n v="85000"/>
    <n v="0.2"/>
    <n v="68000"/>
    <x v="8"/>
    <x v="2"/>
    <s v="OK"/>
  </r>
  <r>
    <s v="ORD0809"/>
    <x v="15"/>
    <s v="Owais Raza"/>
    <s v="Multan"/>
    <x v="4"/>
    <x v="8"/>
    <x v="1"/>
    <n v="3"/>
    <n v="2000"/>
    <n v="0.25"/>
    <n v="4500"/>
    <x v="2"/>
    <x v="2"/>
    <s v="Check Price"/>
  </r>
  <r>
    <s v="ORD0810"/>
    <x v="298"/>
    <s v="Talha Ahmed"/>
    <s v="Lahore"/>
    <x v="3"/>
    <x v="5"/>
    <x v="2"/>
    <n v="8"/>
    <n v="2000"/>
    <n v="0.2"/>
    <n v="12800"/>
    <x v="9"/>
    <x v="3"/>
    <s v="OK"/>
  </r>
  <r>
    <s v="ORD0811"/>
    <x v="492"/>
    <s v="Sana Ali"/>
    <s v="Faisalabad"/>
    <x v="0"/>
    <x v="11"/>
    <x v="1"/>
    <n v="1"/>
    <n v="30000"/>
    <n v="0.1"/>
    <n v="27000"/>
    <x v="2"/>
    <x v="2"/>
    <s v="Check Price"/>
  </r>
  <r>
    <s v="ORD0812"/>
    <x v="250"/>
    <s v="Hina Shah"/>
    <s v="Multan"/>
    <x v="5"/>
    <x v="6"/>
    <x v="1"/>
    <n v="7"/>
    <n v="85000"/>
    <n v="0.25"/>
    <n v="446250"/>
    <x v="3"/>
    <x v="3"/>
    <s v="OK"/>
  </r>
  <r>
    <s v="ORD0813"/>
    <x v="109"/>
    <s v="Bilal Ahmed"/>
    <s v="Hyderabad"/>
    <x v="2"/>
    <x v="7"/>
    <x v="2"/>
    <n v="4"/>
    <n v="350"/>
    <n v="0.05"/>
    <n v="1330"/>
    <x v="6"/>
    <x v="1"/>
    <s v="OK"/>
  </r>
  <r>
    <s v="ORD0814"/>
    <x v="493"/>
    <s v="Owais Raza"/>
    <s v="Sialkot"/>
    <x v="5"/>
    <x v="11"/>
    <x v="2"/>
    <n v="7"/>
    <n v="1200"/>
    <n v="0.15"/>
    <n v="7140"/>
    <x v="7"/>
    <x v="2"/>
    <s v="Check Price"/>
  </r>
  <r>
    <s v="ORD0815"/>
    <x v="494"/>
    <s v="Iqra Khan"/>
    <s v="Karachi"/>
    <x v="2"/>
    <x v="1"/>
    <x v="1"/>
    <n v="1"/>
    <n v="2500"/>
    <n v="0.1"/>
    <n v="2250"/>
    <x v="0"/>
    <x v="0"/>
    <s v="Check Price"/>
  </r>
  <r>
    <s v="ORD0816"/>
    <x v="434"/>
    <s v="Maham Khan"/>
    <s v="Peshawar"/>
    <x v="5"/>
    <x v="10"/>
    <x v="0"/>
    <n v="8"/>
    <n v="350"/>
    <n v="0.05"/>
    <n v="2660"/>
    <x v="8"/>
    <x v="0"/>
    <s v="Check Price"/>
  </r>
  <r>
    <s v="ORD0817"/>
    <x v="495"/>
    <s v="Talha Ahmed"/>
    <s v="Karachi"/>
    <x v="5"/>
    <x v="11"/>
    <x v="1"/>
    <n v="8"/>
    <n v="12000"/>
    <n v="0.25"/>
    <n v="72000"/>
    <x v="5"/>
    <x v="3"/>
    <s v="OK"/>
  </r>
  <r>
    <s v="ORD0818"/>
    <x v="100"/>
    <s v="Sara Ahmed"/>
    <s v="Rawalpindi"/>
    <x v="5"/>
    <x v="9"/>
    <x v="1"/>
    <n v="2"/>
    <n v="28000"/>
    <n v="0.1"/>
    <n v="50400"/>
    <x v="5"/>
    <x v="1"/>
    <s v="OK"/>
  </r>
  <r>
    <s v="ORD0819"/>
    <x v="496"/>
    <s v="Owais Raza"/>
    <s v="Sialkot"/>
    <x v="0"/>
    <x v="7"/>
    <x v="1"/>
    <n v="2"/>
    <n v="5000"/>
    <n v="0.1"/>
    <n v="9000"/>
    <x v="8"/>
    <x v="0"/>
    <s v="Check Price"/>
  </r>
  <r>
    <s v="ORD0820"/>
    <x v="497"/>
    <s v="Maham Khan"/>
    <s v="Peshawar"/>
    <x v="1"/>
    <x v="0"/>
    <x v="0"/>
    <n v="10"/>
    <n v="22000"/>
    <n v="0.15"/>
    <n v="187000"/>
    <x v="9"/>
    <x v="3"/>
    <s v="OK"/>
  </r>
  <r>
    <s v="ORD0821"/>
    <x v="23"/>
    <s v="Iqra Khan"/>
    <s v="Faisalabad"/>
    <x v="1"/>
    <x v="4"/>
    <x v="0"/>
    <n v="1"/>
    <n v="5000"/>
    <n v="0.25"/>
    <n v="3750"/>
    <x v="7"/>
    <x v="0"/>
    <s v="Check Price"/>
  </r>
  <r>
    <s v="ORD0822"/>
    <x v="339"/>
    <s v="Sana Ali"/>
    <s v="Islamabad"/>
    <x v="4"/>
    <x v="9"/>
    <x v="1"/>
    <n v="4"/>
    <n v="4000"/>
    <n v="0.25"/>
    <n v="12000"/>
    <x v="3"/>
    <x v="3"/>
    <s v="Check Price"/>
  </r>
  <r>
    <s v="ORD0823"/>
    <x v="498"/>
    <s v="Zain Malik"/>
    <s v="Peshawar"/>
    <x v="1"/>
    <x v="0"/>
    <x v="0"/>
    <n v="6"/>
    <n v="22000"/>
    <n v="0.25"/>
    <n v="99000"/>
    <x v="4"/>
    <x v="1"/>
    <s v="OK"/>
  </r>
  <r>
    <s v="ORD0824"/>
    <x v="140"/>
    <s v="Sana Ali"/>
    <s v="Sialkot"/>
    <x v="5"/>
    <x v="1"/>
    <x v="0"/>
    <n v="8"/>
    <n v="12000"/>
    <n v="0.05"/>
    <n v="91200"/>
    <x v="6"/>
    <x v="1"/>
    <s v="Check Price"/>
  </r>
  <r>
    <s v="ORD0825"/>
    <x v="382"/>
    <s v="Sana Ali"/>
    <s v="Hyderabad"/>
    <x v="4"/>
    <x v="11"/>
    <x v="1"/>
    <n v="6"/>
    <n v="4000"/>
    <n v="0.1"/>
    <n v="21600"/>
    <x v="5"/>
    <x v="3"/>
    <s v="Check Price"/>
  </r>
  <r>
    <s v="ORD0826"/>
    <x v="20"/>
    <s v="Ali Khan"/>
    <s v="Karachi"/>
    <x v="4"/>
    <x v="3"/>
    <x v="2"/>
    <n v="9"/>
    <n v="1500"/>
    <n v="0.05"/>
    <n v="12825"/>
    <x v="4"/>
    <x v="3"/>
    <s v="OK"/>
  </r>
  <r>
    <s v="ORD0827"/>
    <x v="94"/>
    <s v="Sara Ahmed"/>
    <s v="Quetta"/>
    <x v="2"/>
    <x v="1"/>
    <x v="0"/>
    <n v="7"/>
    <n v="12000"/>
    <n v="0.25"/>
    <n v="63000"/>
    <x v="1"/>
    <x v="3"/>
    <s v="Check Price"/>
  </r>
  <r>
    <s v="ORD0828"/>
    <x v="164"/>
    <s v="Iqra Khan"/>
    <s v="Islamabad"/>
    <x v="5"/>
    <x v="11"/>
    <x v="2"/>
    <n v="2"/>
    <n v="28000"/>
    <n v="0.05"/>
    <n v="53200"/>
    <x v="3"/>
    <x v="1"/>
    <s v="Check Price"/>
  </r>
  <r>
    <s v="ORD0829"/>
    <x v="499"/>
    <s v="Hina Shah"/>
    <s v="Multan"/>
    <x v="5"/>
    <x v="4"/>
    <x v="0"/>
    <n v="10"/>
    <n v="12000"/>
    <n v="0.05"/>
    <n v="114000"/>
    <x v="3"/>
    <x v="3"/>
    <s v="Check Price"/>
  </r>
  <r>
    <s v="ORD0830"/>
    <x v="82"/>
    <s v="Bilal Ahmed"/>
    <s v="Hyderabad"/>
    <x v="2"/>
    <x v="8"/>
    <x v="0"/>
    <n v="5"/>
    <n v="85000"/>
    <n v="0.2"/>
    <n v="340000"/>
    <x v="5"/>
    <x v="3"/>
    <s v="Check Price"/>
  </r>
  <r>
    <s v="ORD0831"/>
    <x v="263"/>
    <s v="Mariam Noor"/>
    <s v="Sialkot"/>
    <x v="4"/>
    <x v="7"/>
    <x v="2"/>
    <n v="6"/>
    <n v="85000"/>
    <n v="0.2"/>
    <n v="408000"/>
    <x v="2"/>
    <x v="1"/>
    <s v="Check Price"/>
  </r>
  <r>
    <s v="ORD0832"/>
    <x v="252"/>
    <s v="Hamza Ali"/>
    <s v="Peshawar"/>
    <x v="0"/>
    <x v="0"/>
    <x v="0"/>
    <n v="5"/>
    <n v="22000"/>
    <n v="0.1"/>
    <n v="99000"/>
    <x v="7"/>
    <x v="2"/>
    <s v="OK"/>
  </r>
  <r>
    <s v="ORD0833"/>
    <x v="109"/>
    <s v="Danish Malik"/>
    <s v="Lahore"/>
    <x v="3"/>
    <x v="2"/>
    <x v="0"/>
    <n v="8"/>
    <n v="4000"/>
    <n v="0.05"/>
    <n v="30400"/>
    <x v="9"/>
    <x v="1"/>
    <s v="Check Price"/>
  </r>
  <r>
    <s v="ORD0834"/>
    <x v="500"/>
    <s v="Hamza Ali"/>
    <s v="Islamabad"/>
    <x v="0"/>
    <x v="7"/>
    <x v="2"/>
    <n v="5"/>
    <n v="2000"/>
    <n v="0.05"/>
    <n v="9500"/>
    <x v="7"/>
    <x v="1"/>
    <s v="Check Price"/>
  </r>
  <r>
    <s v="ORD0835"/>
    <x v="267"/>
    <s v="Maham Khan"/>
    <s v="Peshawar"/>
    <x v="2"/>
    <x v="9"/>
    <x v="0"/>
    <n v="2"/>
    <n v="85000"/>
    <n v="0.1"/>
    <n v="153000"/>
    <x v="8"/>
    <x v="3"/>
    <s v="Check Price"/>
  </r>
  <r>
    <s v="ORD0836"/>
    <x v="501"/>
    <s v="Sana Ali"/>
    <s v="Lahore"/>
    <x v="1"/>
    <x v="2"/>
    <x v="0"/>
    <n v="7"/>
    <n v="85000"/>
    <n v="0.1"/>
    <n v="535500"/>
    <x v="6"/>
    <x v="3"/>
    <s v="Check Price"/>
  </r>
  <r>
    <s v="ORD0837"/>
    <x v="218"/>
    <s v="Sara Ahmed"/>
    <s v="Peshawar"/>
    <x v="1"/>
    <x v="5"/>
    <x v="1"/>
    <n v="3"/>
    <n v="12000"/>
    <n v="0.2"/>
    <n v="28800"/>
    <x v="6"/>
    <x v="0"/>
    <s v="Check Price"/>
  </r>
  <r>
    <s v="ORD0838"/>
    <x v="502"/>
    <s v="Zain Malik"/>
    <s v="Lahore"/>
    <x v="2"/>
    <x v="3"/>
    <x v="2"/>
    <n v="6"/>
    <n v="1500"/>
    <n v="0.15"/>
    <n v="7650"/>
    <x v="4"/>
    <x v="0"/>
    <s v="OK"/>
  </r>
  <r>
    <s v="ORD0839"/>
    <x v="487"/>
    <s v="Talha Ahmed"/>
    <s v="Karachi"/>
    <x v="0"/>
    <x v="3"/>
    <x v="2"/>
    <n v="3"/>
    <n v="1500"/>
    <n v="0.05"/>
    <n v="4275"/>
    <x v="7"/>
    <x v="0"/>
    <s v="OK"/>
  </r>
  <r>
    <s v="ORD0840"/>
    <x v="503"/>
    <s v="Usman Khan"/>
    <s v="Hyderabad"/>
    <x v="5"/>
    <x v="11"/>
    <x v="0"/>
    <n v="6"/>
    <n v="85000"/>
    <n v="0.15"/>
    <n v="433500"/>
    <x v="7"/>
    <x v="1"/>
    <s v="Check Price"/>
  </r>
  <r>
    <s v="ORD0841"/>
    <x v="395"/>
    <s v="Sara Ahmed"/>
    <s v="Islamabad"/>
    <x v="2"/>
    <x v="7"/>
    <x v="0"/>
    <n v="10"/>
    <n v="28000"/>
    <n v="0.2"/>
    <n v="224000"/>
    <x v="2"/>
    <x v="3"/>
    <s v="Check Price"/>
  </r>
  <r>
    <s v="ORD0842"/>
    <x v="504"/>
    <s v="Hina Shah"/>
    <s v="Quetta"/>
    <x v="0"/>
    <x v="5"/>
    <x v="0"/>
    <n v="8"/>
    <n v="2000"/>
    <n v="0.15"/>
    <n v="13600"/>
    <x v="5"/>
    <x v="3"/>
    <s v="OK"/>
  </r>
  <r>
    <s v="ORD0843"/>
    <x v="122"/>
    <s v="Ayesha Malik"/>
    <s v="Quetta"/>
    <x v="5"/>
    <x v="3"/>
    <x v="2"/>
    <n v="6"/>
    <n v="1500"/>
    <n v="0.05"/>
    <n v="8550"/>
    <x v="9"/>
    <x v="2"/>
    <s v="OK"/>
  </r>
  <r>
    <s v="ORD0844"/>
    <x v="181"/>
    <s v="Owais Raza"/>
    <s v="Sialkot"/>
    <x v="1"/>
    <x v="1"/>
    <x v="0"/>
    <n v="4"/>
    <n v="1500"/>
    <n v="0.15"/>
    <n v="5100"/>
    <x v="7"/>
    <x v="2"/>
    <s v="Check Price"/>
  </r>
  <r>
    <s v="ORD0845"/>
    <x v="505"/>
    <s v="Fatima Noor"/>
    <s v="Peshawar"/>
    <x v="2"/>
    <x v="8"/>
    <x v="2"/>
    <n v="9"/>
    <n v="28000"/>
    <n v="0.15"/>
    <n v="214200"/>
    <x v="0"/>
    <x v="1"/>
    <s v="Check Price"/>
  </r>
  <r>
    <s v="ORD0846"/>
    <x v="45"/>
    <s v="Talha Ahmed"/>
    <s v="Lahore"/>
    <x v="4"/>
    <x v="2"/>
    <x v="2"/>
    <n v="3"/>
    <n v="1200"/>
    <n v="0.25"/>
    <n v="2700"/>
    <x v="3"/>
    <x v="3"/>
    <s v="Check Price"/>
  </r>
  <r>
    <s v="ORD0847"/>
    <x v="253"/>
    <s v="Iqra Khan"/>
    <s v="Islamabad"/>
    <x v="3"/>
    <x v="11"/>
    <x v="1"/>
    <n v="10"/>
    <n v="12000"/>
    <n v="0.05"/>
    <n v="114000"/>
    <x v="1"/>
    <x v="3"/>
    <s v="OK"/>
  </r>
  <r>
    <s v="ORD0848"/>
    <x v="506"/>
    <s v="Mariam Noor"/>
    <s v="Hyderabad"/>
    <x v="0"/>
    <x v="4"/>
    <x v="1"/>
    <n v="9"/>
    <n v="85000"/>
    <n v="0.25"/>
    <n v="573750"/>
    <x v="3"/>
    <x v="1"/>
    <s v="Check Price"/>
  </r>
  <r>
    <s v="ORD0849"/>
    <x v="350"/>
    <s v="Talha Ahmed"/>
    <s v="Islamabad"/>
    <x v="5"/>
    <x v="6"/>
    <x v="1"/>
    <n v="10"/>
    <n v="85000"/>
    <n v="0.2"/>
    <n v="680000"/>
    <x v="7"/>
    <x v="1"/>
    <s v="OK"/>
  </r>
  <r>
    <s v="ORD0850"/>
    <x v="381"/>
    <s v="Hassan Ahmed"/>
    <s v="Karachi"/>
    <x v="3"/>
    <x v="0"/>
    <x v="0"/>
    <n v="6"/>
    <n v="22000"/>
    <n v="0.2"/>
    <n v="105600"/>
    <x v="3"/>
    <x v="1"/>
    <s v="OK"/>
  </r>
  <r>
    <s v="ORD0851"/>
    <x v="143"/>
    <s v="Ahmed Raza"/>
    <s v="Quetta"/>
    <x v="5"/>
    <x v="5"/>
    <x v="1"/>
    <n v="7"/>
    <n v="1500"/>
    <n v="0.25"/>
    <n v="7875"/>
    <x v="1"/>
    <x v="1"/>
    <s v="Check Price"/>
  </r>
  <r>
    <s v="ORD0852"/>
    <x v="217"/>
    <s v="Hassan Ahmed"/>
    <s v="Hyderabad"/>
    <x v="2"/>
    <x v="7"/>
    <x v="2"/>
    <n v="2"/>
    <n v="12000"/>
    <n v="0.25"/>
    <n v="18000"/>
    <x v="7"/>
    <x v="2"/>
    <s v="Check Price"/>
  </r>
  <r>
    <s v="ORD0853"/>
    <x v="420"/>
    <s v="Hamza Ali"/>
    <s v="Sialkot"/>
    <x v="0"/>
    <x v="3"/>
    <x v="2"/>
    <n v="7"/>
    <n v="1500"/>
    <n v="0.15"/>
    <n v="8925"/>
    <x v="7"/>
    <x v="0"/>
    <s v="OK"/>
  </r>
  <r>
    <s v="ORD0854"/>
    <x v="87"/>
    <s v="Owais Raza"/>
    <s v="Rawalpindi"/>
    <x v="4"/>
    <x v="5"/>
    <x v="0"/>
    <n v="10"/>
    <n v="85000"/>
    <n v="0.1"/>
    <n v="765000"/>
    <x v="3"/>
    <x v="1"/>
    <s v="Check Price"/>
  </r>
  <r>
    <s v="ORD0855"/>
    <x v="304"/>
    <s v="Fatima Noor"/>
    <s v="Quetta"/>
    <x v="3"/>
    <x v="0"/>
    <x v="0"/>
    <n v="9"/>
    <n v="22000"/>
    <n v="0.15"/>
    <n v="168300"/>
    <x v="0"/>
    <x v="0"/>
    <s v="OK"/>
  </r>
  <r>
    <s v="ORD0856"/>
    <x v="507"/>
    <s v="Ahmed Raza"/>
    <s v="Rawalpindi"/>
    <x v="0"/>
    <x v="5"/>
    <x v="1"/>
    <n v="2"/>
    <n v="350"/>
    <n v="0.05"/>
    <n v="665"/>
    <x v="7"/>
    <x v="1"/>
    <s v="Check Price"/>
  </r>
  <r>
    <s v="ORD0857"/>
    <x v="83"/>
    <s v="Hina Shah"/>
    <s v="Faisalabad"/>
    <x v="0"/>
    <x v="9"/>
    <x v="2"/>
    <n v="9"/>
    <n v="85000"/>
    <n v="0.1"/>
    <n v="688500"/>
    <x v="4"/>
    <x v="3"/>
    <s v="Check Price"/>
  </r>
  <r>
    <s v="ORD0858"/>
    <x v="201"/>
    <s v="Maham Khan"/>
    <s v="Hyderabad"/>
    <x v="3"/>
    <x v="9"/>
    <x v="0"/>
    <n v="1"/>
    <n v="85000"/>
    <n v="0.1"/>
    <n v="76500"/>
    <x v="3"/>
    <x v="1"/>
    <s v="Check Price"/>
  </r>
  <r>
    <s v="ORD0859"/>
    <x v="508"/>
    <s v="Mariam Noor"/>
    <s v="Lahore"/>
    <x v="0"/>
    <x v="7"/>
    <x v="2"/>
    <n v="4"/>
    <n v="1200"/>
    <n v="0.1"/>
    <n v="4320"/>
    <x v="1"/>
    <x v="3"/>
    <s v="Check Price"/>
  </r>
  <r>
    <s v="ORD0860"/>
    <x v="243"/>
    <s v="Hamza Ali"/>
    <s v="Quetta"/>
    <x v="2"/>
    <x v="5"/>
    <x v="0"/>
    <n v="6"/>
    <n v="2000"/>
    <n v="0.1"/>
    <n v="10800"/>
    <x v="8"/>
    <x v="1"/>
    <s v="OK"/>
  </r>
  <r>
    <s v="ORD0861"/>
    <x v="125"/>
    <s v="Fatima Noor"/>
    <s v="Hyderabad"/>
    <x v="0"/>
    <x v="11"/>
    <x v="2"/>
    <n v="2"/>
    <n v="22000"/>
    <n v="0.15"/>
    <n v="37400"/>
    <x v="5"/>
    <x v="0"/>
    <s v="Check Price"/>
  </r>
  <r>
    <s v="ORD0862"/>
    <x v="509"/>
    <s v="Talha Ahmed"/>
    <s v="Hyderabad"/>
    <x v="5"/>
    <x v="7"/>
    <x v="1"/>
    <n v="10"/>
    <n v="1200"/>
    <n v="0.25"/>
    <n v="9000"/>
    <x v="7"/>
    <x v="1"/>
    <s v="Check Price"/>
  </r>
  <r>
    <s v="ORD0863"/>
    <x v="358"/>
    <s v="Mariam Noor"/>
    <s v="Multan"/>
    <x v="4"/>
    <x v="7"/>
    <x v="0"/>
    <n v="5"/>
    <n v="1200"/>
    <n v="0.25"/>
    <n v="4500"/>
    <x v="6"/>
    <x v="3"/>
    <s v="Check Price"/>
  </r>
  <r>
    <s v="ORD0864"/>
    <x v="465"/>
    <s v="Hassan Ahmed"/>
    <s v="Multan"/>
    <x v="2"/>
    <x v="6"/>
    <x v="1"/>
    <n v="5"/>
    <n v="85000"/>
    <n v="0.2"/>
    <n v="340000"/>
    <x v="0"/>
    <x v="3"/>
    <s v="OK"/>
  </r>
  <r>
    <s v="ORD0865"/>
    <x v="146"/>
    <s v="Talha Ahmed"/>
    <s v="Faisalabad"/>
    <x v="0"/>
    <x v="0"/>
    <x v="0"/>
    <n v="5"/>
    <n v="22000"/>
    <n v="0.05"/>
    <n v="104500"/>
    <x v="1"/>
    <x v="0"/>
    <s v="OK"/>
  </r>
  <r>
    <s v="ORD0866"/>
    <x v="510"/>
    <s v="Sara Ahmed"/>
    <s v="Karachi"/>
    <x v="3"/>
    <x v="5"/>
    <x v="0"/>
    <n v="4"/>
    <n v="5000"/>
    <n v="0.15"/>
    <n v="17000"/>
    <x v="8"/>
    <x v="3"/>
    <s v="Check Price"/>
  </r>
  <r>
    <s v="ORD0867"/>
    <x v="146"/>
    <s v="Hamza Ali"/>
    <s v="Rawalpindi"/>
    <x v="4"/>
    <x v="8"/>
    <x v="2"/>
    <n v="8"/>
    <n v="5000"/>
    <n v="0.05"/>
    <n v="38000"/>
    <x v="3"/>
    <x v="0"/>
    <s v="OK"/>
  </r>
  <r>
    <s v="ORD0868"/>
    <x v="511"/>
    <s v="Talha Ahmed"/>
    <s v="Hyderabad"/>
    <x v="1"/>
    <x v="7"/>
    <x v="0"/>
    <n v="4"/>
    <n v="1200"/>
    <n v="0.2"/>
    <n v="3840"/>
    <x v="9"/>
    <x v="1"/>
    <s v="Check Price"/>
  </r>
  <r>
    <s v="ORD0869"/>
    <x v="512"/>
    <s v="Zain Malik"/>
    <s v="Rawalpindi"/>
    <x v="2"/>
    <x v="3"/>
    <x v="2"/>
    <n v="2"/>
    <n v="1500"/>
    <n v="0.1"/>
    <n v="2700"/>
    <x v="2"/>
    <x v="2"/>
    <s v="OK"/>
  </r>
  <r>
    <s v="ORD0870"/>
    <x v="11"/>
    <s v="Maham Khan"/>
    <s v="Quetta"/>
    <x v="4"/>
    <x v="9"/>
    <x v="2"/>
    <n v="5"/>
    <n v="12000"/>
    <n v="0.05"/>
    <n v="57000"/>
    <x v="9"/>
    <x v="2"/>
    <s v="Check Price"/>
  </r>
  <r>
    <s v="ORD0871"/>
    <x v="359"/>
    <s v="Owais Raza"/>
    <s v="Multan"/>
    <x v="2"/>
    <x v="4"/>
    <x v="2"/>
    <n v="5"/>
    <n v="2000"/>
    <n v="0.1"/>
    <n v="9000"/>
    <x v="8"/>
    <x v="0"/>
    <s v="Check Price"/>
  </r>
  <r>
    <s v="ORD0872"/>
    <x v="513"/>
    <s v="Fatima Noor"/>
    <s v="Rawalpindi"/>
    <x v="5"/>
    <x v="11"/>
    <x v="1"/>
    <n v="8"/>
    <n v="30000"/>
    <n v="0.05"/>
    <n v="228000"/>
    <x v="5"/>
    <x v="3"/>
    <s v="Check Price"/>
  </r>
  <r>
    <s v="ORD0873"/>
    <x v="514"/>
    <s v="Fatima Noor"/>
    <s v="Multan"/>
    <x v="5"/>
    <x v="8"/>
    <x v="2"/>
    <n v="5"/>
    <n v="5000"/>
    <n v="0.1"/>
    <n v="22500"/>
    <x v="8"/>
    <x v="0"/>
    <s v="OK"/>
  </r>
  <r>
    <s v="ORD0874"/>
    <x v="515"/>
    <s v="Owais Raza"/>
    <s v="Lahore"/>
    <x v="0"/>
    <x v="3"/>
    <x v="2"/>
    <n v="3"/>
    <n v="1500"/>
    <n v="0.05"/>
    <n v="4275"/>
    <x v="8"/>
    <x v="0"/>
    <s v="OK"/>
  </r>
  <r>
    <s v="ORD0875"/>
    <x v="516"/>
    <s v="Hina Shah"/>
    <s v="Multan"/>
    <x v="5"/>
    <x v="9"/>
    <x v="0"/>
    <n v="7"/>
    <n v="2000"/>
    <n v="0.15"/>
    <n v="11900"/>
    <x v="4"/>
    <x v="3"/>
    <s v="Check Price"/>
  </r>
  <r>
    <s v="ORD0876"/>
    <x v="460"/>
    <s v="Mariam Noor"/>
    <s v="Islamabad"/>
    <x v="5"/>
    <x v="3"/>
    <x v="2"/>
    <n v="4"/>
    <n v="1500"/>
    <n v="0.2"/>
    <n v="4800"/>
    <x v="9"/>
    <x v="1"/>
    <s v="OK"/>
  </r>
  <r>
    <s v="ORD0877"/>
    <x v="68"/>
    <s v="Ahmed Raza"/>
    <s v="Karachi"/>
    <x v="1"/>
    <x v="4"/>
    <x v="0"/>
    <n v="5"/>
    <n v="2000"/>
    <n v="0.1"/>
    <n v="9000"/>
    <x v="1"/>
    <x v="2"/>
    <s v="Check Price"/>
  </r>
  <r>
    <s v="ORD0878"/>
    <x v="310"/>
    <s v="Sara Ahmed"/>
    <s v="Islamabad"/>
    <x v="2"/>
    <x v="5"/>
    <x v="0"/>
    <n v="2"/>
    <n v="22000"/>
    <n v="0.1"/>
    <n v="39600"/>
    <x v="6"/>
    <x v="0"/>
    <s v="Check Price"/>
  </r>
  <r>
    <s v="ORD0879"/>
    <x v="311"/>
    <s v="Fatima Noor"/>
    <s v="Islamabad"/>
    <x v="2"/>
    <x v="2"/>
    <x v="1"/>
    <n v="2"/>
    <n v="85000"/>
    <n v="0.15"/>
    <n v="144500"/>
    <x v="6"/>
    <x v="2"/>
    <s v="Check Price"/>
  </r>
  <r>
    <s v="ORD0880"/>
    <x v="517"/>
    <s v="Sana Ali"/>
    <s v="Multan"/>
    <x v="4"/>
    <x v="3"/>
    <x v="2"/>
    <n v="7"/>
    <n v="1500"/>
    <n v="0.05"/>
    <n v="9975"/>
    <x v="3"/>
    <x v="3"/>
    <s v="OK"/>
  </r>
  <r>
    <s v="ORD0881"/>
    <x v="125"/>
    <s v="Danish Malik"/>
    <s v="Sialkot"/>
    <x v="3"/>
    <x v="3"/>
    <x v="2"/>
    <n v="2"/>
    <n v="1500"/>
    <n v="0.15"/>
    <n v="2550"/>
    <x v="2"/>
    <x v="0"/>
    <s v="OK"/>
  </r>
  <r>
    <s v="ORD0882"/>
    <x v="148"/>
    <s v="Fatima Noor"/>
    <s v="Peshawar"/>
    <x v="3"/>
    <x v="11"/>
    <x v="0"/>
    <n v="9"/>
    <n v="28000"/>
    <n v="0.25"/>
    <n v="189000"/>
    <x v="8"/>
    <x v="1"/>
    <s v="Check Price"/>
  </r>
  <r>
    <s v="ORD0883"/>
    <x v="62"/>
    <s v="Sara Ahmed"/>
    <s v="Lahore"/>
    <x v="1"/>
    <x v="0"/>
    <x v="0"/>
    <n v="7"/>
    <n v="22000"/>
    <n v="0.05"/>
    <n v="146300"/>
    <x v="3"/>
    <x v="3"/>
    <s v="OK"/>
  </r>
  <r>
    <s v="ORD0884"/>
    <x v="376"/>
    <s v="Hamza Ali"/>
    <s v="Quetta"/>
    <x v="5"/>
    <x v="7"/>
    <x v="0"/>
    <n v="4"/>
    <n v="2500"/>
    <n v="0.05"/>
    <n v="9500"/>
    <x v="9"/>
    <x v="3"/>
    <s v="Check Price"/>
  </r>
  <r>
    <s v="ORD0885"/>
    <x v="518"/>
    <s v="Saad Raza"/>
    <s v="Karachi"/>
    <x v="0"/>
    <x v="1"/>
    <x v="1"/>
    <n v="4"/>
    <n v="30000"/>
    <n v="0.15"/>
    <n v="102000"/>
    <x v="7"/>
    <x v="0"/>
    <s v="Check Price"/>
  </r>
  <r>
    <s v="ORD0886"/>
    <x v="333"/>
    <s v="Hassan Ahmed"/>
    <s v="Peshawar"/>
    <x v="4"/>
    <x v="11"/>
    <x v="1"/>
    <n v="3"/>
    <n v="2500"/>
    <n v="0.1"/>
    <n v="6750"/>
    <x v="9"/>
    <x v="1"/>
    <s v="Check Price"/>
  </r>
  <r>
    <s v="ORD0887"/>
    <x v="519"/>
    <s v="Ahmed Raza"/>
    <s v="Lahore"/>
    <x v="3"/>
    <x v="10"/>
    <x v="2"/>
    <n v="8"/>
    <n v="2500"/>
    <n v="0.15"/>
    <n v="17000"/>
    <x v="0"/>
    <x v="1"/>
    <s v="Check Price"/>
  </r>
  <r>
    <s v="ORD0888"/>
    <x v="411"/>
    <s v="Bilal Ahmed"/>
    <s v="Karachi"/>
    <x v="0"/>
    <x v="6"/>
    <x v="1"/>
    <n v="4"/>
    <n v="85000"/>
    <n v="0.2"/>
    <n v="272000"/>
    <x v="0"/>
    <x v="2"/>
    <s v="OK"/>
  </r>
  <r>
    <s v="ORD0889"/>
    <x v="520"/>
    <s v="Hamza Ali"/>
    <s v="Lahore"/>
    <x v="2"/>
    <x v="5"/>
    <x v="0"/>
    <n v="6"/>
    <n v="4000"/>
    <n v="0.15"/>
    <n v="20400"/>
    <x v="5"/>
    <x v="0"/>
    <s v="Check Price"/>
  </r>
  <r>
    <s v="ORD0890"/>
    <x v="521"/>
    <s v="Iqra Khan"/>
    <s v="Hyderabad"/>
    <x v="1"/>
    <x v="6"/>
    <x v="1"/>
    <n v="5"/>
    <n v="85000"/>
    <n v="0.1"/>
    <n v="382500"/>
    <x v="3"/>
    <x v="2"/>
    <s v="OK"/>
  </r>
  <r>
    <s v="ORD0891"/>
    <x v="522"/>
    <s v="Sara Ahmed"/>
    <s v="Quetta"/>
    <x v="4"/>
    <x v="6"/>
    <x v="1"/>
    <n v="7"/>
    <n v="85000"/>
    <n v="0.25"/>
    <n v="446250"/>
    <x v="0"/>
    <x v="0"/>
    <s v="OK"/>
  </r>
  <r>
    <s v="ORD0892"/>
    <x v="456"/>
    <s v="Usman Khan"/>
    <s v="Islamabad"/>
    <x v="5"/>
    <x v="8"/>
    <x v="2"/>
    <n v="2"/>
    <n v="30000"/>
    <n v="0.1"/>
    <n v="54000"/>
    <x v="8"/>
    <x v="1"/>
    <s v="Check Price"/>
  </r>
  <r>
    <s v="ORD0893"/>
    <x v="410"/>
    <s v="Maham Khan"/>
    <s v="Karachi"/>
    <x v="5"/>
    <x v="1"/>
    <x v="0"/>
    <n v="10"/>
    <n v="1500"/>
    <n v="0.05"/>
    <n v="14250"/>
    <x v="3"/>
    <x v="2"/>
    <s v="Check Price"/>
  </r>
  <r>
    <s v="ORD0894"/>
    <x v="277"/>
    <s v="Hina Shah"/>
    <s v="Peshawar"/>
    <x v="5"/>
    <x v="6"/>
    <x v="1"/>
    <n v="7"/>
    <n v="85000"/>
    <n v="0.2"/>
    <n v="476000"/>
    <x v="7"/>
    <x v="3"/>
    <s v="OK"/>
  </r>
  <r>
    <s v="ORD0895"/>
    <x v="523"/>
    <s v="Usman Khan"/>
    <s v="Sialkot"/>
    <x v="1"/>
    <x v="4"/>
    <x v="2"/>
    <n v="3"/>
    <n v="12000"/>
    <n v="0.05"/>
    <n v="34200"/>
    <x v="2"/>
    <x v="0"/>
    <s v="Check Price"/>
  </r>
  <r>
    <s v="ORD0896"/>
    <x v="349"/>
    <s v="Usman Khan"/>
    <s v="Faisalabad"/>
    <x v="5"/>
    <x v="5"/>
    <x v="2"/>
    <n v="5"/>
    <n v="2500"/>
    <n v="0.1"/>
    <n v="11250"/>
    <x v="9"/>
    <x v="0"/>
    <s v="Check Price"/>
  </r>
  <r>
    <s v="ORD0897"/>
    <x v="524"/>
    <s v="Owais Raza"/>
    <s v="Faisalabad"/>
    <x v="1"/>
    <x v="0"/>
    <x v="0"/>
    <n v="2"/>
    <n v="22000"/>
    <n v="0.1"/>
    <n v="39600"/>
    <x v="6"/>
    <x v="1"/>
    <s v="OK"/>
  </r>
  <r>
    <s v="ORD0898"/>
    <x v="365"/>
    <s v="Saad Raza"/>
    <s v="Islamabad"/>
    <x v="2"/>
    <x v="9"/>
    <x v="1"/>
    <n v="5"/>
    <n v="12000"/>
    <n v="0.15"/>
    <n v="51000"/>
    <x v="6"/>
    <x v="1"/>
    <s v="Check Price"/>
  </r>
  <r>
    <s v="ORD0899"/>
    <x v="176"/>
    <s v="Ali Khan"/>
    <s v="Quetta"/>
    <x v="3"/>
    <x v="11"/>
    <x v="0"/>
    <n v="9"/>
    <n v="2500"/>
    <n v="0.25"/>
    <n v="16875"/>
    <x v="2"/>
    <x v="3"/>
    <s v="Check Price"/>
  </r>
  <r>
    <s v="ORD0900"/>
    <x v="23"/>
    <s v="Owais Raza"/>
    <s v="Sialkot"/>
    <x v="5"/>
    <x v="10"/>
    <x v="2"/>
    <n v="1"/>
    <n v="12000"/>
    <n v="0.2"/>
    <n v="9600"/>
    <x v="6"/>
    <x v="1"/>
    <s v="Check Price"/>
  </r>
  <r>
    <s v="ORD0901"/>
    <x v="58"/>
    <s v="Maham Khan"/>
    <s v="Sialkot"/>
    <x v="1"/>
    <x v="8"/>
    <x v="1"/>
    <n v="10"/>
    <n v="85000"/>
    <n v="0.1"/>
    <n v="765000"/>
    <x v="7"/>
    <x v="1"/>
    <s v="Check Price"/>
  </r>
  <r>
    <s v="ORD0902"/>
    <x v="393"/>
    <s v="Hamza Ali"/>
    <s v="Islamabad"/>
    <x v="0"/>
    <x v="10"/>
    <x v="1"/>
    <n v="4"/>
    <n v="1500"/>
    <n v="0.05"/>
    <n v="5700"/>
    <x v="1"/>
    <x v="3"/>
    <s v="Check Price"/>
  </r>
  <r>
    <s v="ORD0903"/>
    <x v="245"/>
    <s v="Laiba Khan"/>
    <s v="Lahore"/>
    <x v="3"/>
    <x v="6"/>
    <x v="1"/>
    <n v="9"/>
    <n v="85000"/>
    <n v="0.05"/>
    <n v="726750"/>
    <x v="9"/>
    <x v="1"/>
    <s v="OK"/>
  </r>
  <r>
    <s v="ORD0904"/>
    <x v="525"/>
    <s v="Owais Raza"/>
    <s v="Rawalpindi"/>
    <x v="1"/>
    <x v="6"/>
    <x v="1"/>
    <n v="6"/>
    <n v="85000"/>
    <n v="0.25"/>
    <n v="382500"/>
    <x v="6"/>
    <x v="2"/>
    <s v="OK"/>
  </r>
  <r>
    <s v="ORD0905"/>
    <x v="305"/>
    <s v="Bilal Ahmed"/>
    <s v="Karachi"/>
    <x v="5"/>
    <x v="1"/>
    <x v="0"/>
    <n v="10"/>
    <n v="85000"/>
    <n v="0.05"/>
    <n v="807500"/>
    <x v="7"/>
    <x v="0"/>
    <s v="Check Price"/>
  </r>
  <r>
    <s v="ORD0906"/>
    <x v="359"/>
    <s v="Bilal Ahmed"/>
    <s v="Hyderabad"/>
    <x v="2"/>
    <x v="3"/>
    <x v="2"/>
    <n v="1"/>
    <n v="1500"/>
    <n v="0.05"/>
    <n v="1425"/>
    <x v="8"/>
    <x v="1"/>
    <s v="OK"/>
  </r>
  <r>
    <s v="ORD0907"/>
    <x v="219"/>
    <s v="Danish Malik"/>
    <s v="Hyderabad"/>
    <x v="2"/>
    <x v="11"/>
    <x v="0"/>
    <n v="8"/>
    <n v="1200"/>
    <n v="0.2"/>
    <n v="7680"/>
    <x v="9"/>
    <x v="0"/>
    <s v="Check Price"/>
  </r>
  <r>
    <s v="ORD0908"/>
    <x v="526"/>
    <s v="Fatima Noor"/>
    <s v="Lahore"/>
    <x v="1"/>
    <x v="9"/>
    <x v="0"/>
    <n v="3"/>
    <n v="22000"/>
    <n v="0.2"/>
    <n v="52800"/>
    <x v="9"/>
    <x v="2"/>
    <s v="Check Price"/>
  </r>
  <r>
    <s v="ORD0909"/>
    <x v="315"/>
    <s v="Ali Khan"/>
    <s v="Quetta"/>
    <x v="4"/>
    <x v="1"/>
    <x v="0"/>
    <n v="10"/>
    <n v="5000"/>
    <n v="0.2"/>
    <n v="40000"/>
    <x v="7"/>
    <x v="3"/>
    <s v="Check Price"/>
  </r>
  <r>
    <s v="ORD0910"/>
    <x v="107"/>
    <s v="Laiba Khan"/>
    <s v="Hyderabad"/>
    <x v="5"/>
    <x v="3"/>
    <x v="2"/>
    <n v="5"/>
    <n v="1500"/>
    <n v="0.2"/>
    <n v="6000"/>
    <x v="3"/>
    <x v="2"/>
    <s v="OK"/>
  </r>
  <r>
    <s v="ORD0911"/>
    <x v="406"/>
    <s v="Sara Ahmed"/>
    <s v="Karachi"/>
    <x v="2"/>
    <x v="1"/>
    <x v="0"/>
    <n v="5"/>
    <n v="28000"/>
    <n v="0.1"/>
    <n v="126000"/>
    <x v="8"/>
    <x v="2"/>
    <s v="Check Price"/>
  </r>
  <r>
    <s v="ORD0912"/>
    <x v="98"/>
    <s v="Maham Khan"/>
    <s v="Hyderabad"/>
    <x v="3"/>
    <x v="0"/>
    <x v="0"/>
    <n v="8"/>
    <n v="22000"/>
    <n v="0.2"/>
    <n v="140800"/>
    <x v="2"/>
    <x v="0"/>
    <s v="OK"/>
  </r>
  <r>
    <s v="ORD0913"/>
    <x v="515"/>
    <s v="Usman Khan"/>
    <s v="Hyderabad"/>
    <x v="0"/>
    <x v="2"/>
    <x v="0"/>
    <n v="5"/>
    <n v="28000"/>
    <n v="0.05"/>
    <n v="133000"/>
    <x v="8"/>
    <x v="1"/>
    <s v="Check Price"/>
  </r>
  <r>
    <s v="ORD0914"/>
    <x v="506"/>
    <s v="Usman Khan"/>
    <s v="Faisalabad"/>
    <x v="1"/>
    <x v="4"/>
    <x v="0"/>
    <n v="1"/>
    <n v="2500"/>
    <n v="0.1"/>
    <n v="2250"/>
    <x v="0"/>
    <x v="1"/>
    <s v="Check Price"/>
  </r>
  <r>
    <s v="ORD0915"/>
    <x v="527"/>
    <s v="Danish Malik"/>
    <s v="Sialkot"/>
    <x v="2"/>
    <x v="1"/>
    <x v="2"/>
    <n v="2"/>
    <n v="85000"/>
    <n v="0.1"/>
    <n v="153000"/>
    <x v="5"/>
    <x v="2"/>
    <s v="Check Price"/>
  </r>
  <r>
    <s v="ORD0916"/>
    <x v="183"/>
    <s v="Hamza Ali"/>
    <s v="Islamabad"/>
    <x v="2"/>
    <x v="11"/>
    <x v="0"/>
    <n v="1"/>
    <n v="12000"/>
    <n v="0.1"/>
    <n v="10800"/>
    <x v="2"/>
    <x v="1"/>
    <s v="OK"/>
  </r>
  <r>
    <s v="ORD0917"/>
    <x v="482"/>
    <s v="Bilal Ahmed"/>
    <s v="Lahore"/>
    <x v="4"/>
    <x v="10"/>
    <x v="2"/>
    <n v="3"/>
    <n v="350"/>
    <n v="0.2"/>
    <n v="840"/>
    <x v="4"/>
    <x v="1"/>
    <s v="Check Price"/>
  </r>
  <r>
    <s v="ORD0918"/>
    <x v="74"/>
    <s v="Owais Raza"/>
    <s v="Rawalpindi"/>
    <x v="3"/>
    <x v="10"/>
    <x v="1"/>
    <n v="3"/>
    <n v="5000"/>
    <n v="0.25"/>
    <n v="11250"/>
    <x v="2"/>
    <x v="0"/>
    <s v="Check Price"/>
  </r>
  <r>
    <s v="ORD0919"/>
    <x v="427"/>
    <s v="Hamza Ali"/>
    <s v="Islamabad"/>
    <x v="5"/>
    <x v="8"/>
    <x v="1"/>
    <n v="7"/>
    <n v="85000"/>
    <n v="0.05"/>
    <n v="565250"/>
    <x v="7"/>
    <x v="2"/>
    <s v="Check Price"/>
  </r>
  <r>
    <s v="ORD0920"/>
    <x v="528"/>
    <s v="Ayesha Malik"/>
    <s v="Peshawar"/>
    <x v="4"/>
    <x v="8"/>
    <x v="1"/>
    <n v="9"/>
    <n v="12000"/>
    <n v="0.25"/>
    <n v="81000"/>
    <x v="0"/>
    <x v="1"/>
    <s v="Check Price"/>
  </r>
  <r>
    <s v="ORD0921"/>
    <x v="489"/>
    <s v="Talha Ahmed"/>
    <s v="Karachi"/>
    <x v="1"/>
    <x v="3"/>
    <x v="2"/>
    <n v="3"/>
    <n v="1500"/>
    <n v="0.05"/>
    <n v="4275"/>
    <x v="7"/>
    <x v="2"/>
    <s v="OK"/>
  </r>
  <r>
    <s v="ORD0922"/>
    <x v="79"/>
    <s v="Saad Raza"/>
    <s v="Peshawar"/>
    <x v="1"/>
    <x v="4"/>
    <x v="2"/>
    <n v="8"/>
    <n v="2000"/>
    <n v="0.2"/>
    <n v="12800"/>
    <x v="0"/>
    <x v="1"/>
    <s v="Check Price"/>
  </r>
  <r>
    <s v="ORD0923"/>
    <x v="529"/>
    <s v="Zain Malik"/>
    <s v="Rawalpindi"/>
    <x v="3"/>
    <x v="0"/>
    <x v="0"/>
    <n v="6"/>
    <n v="22000"/>
    <n v="0.15"/>
    <n v="112200"/>
    <x v="2"/>
    <x v="2"/>
    <s v="OK"/>
  </r>
  <r>
    <s v="ORD0924"/>
    <x v="336"/>
    <s v="Maham Khan"/>
    <s v="Islamabad"/>
    <x v="4"/>
    <x v="11"/>
    <x v="2"/>
    <n v="10"/>
    <n v="2500"/>
    <n v="0.1"/>
    <n v="22500"/>
    <x v="3"/>
    <x v="3"/>
    <s v="Check Price"/>
  </r>
  <r>
    <s v="ORD0925"/>
    <x v="300"/>
    <s v="Talha Ahmed"/>
    <s v="Faisalabad"/>
    <x v="5"/>
    <x v="8"/>
    <x v="0"/>
    <n v="7"/>
    <n v="2000"/>
    <n v="0.2"/>
    <n v="11200"/>
    <x v="7"/>
    <x v="0"/>
    <s v="Check Price"/>
  </r>
  <r>
    <s v="ORD0926"/>
    <x v="371"/>
    <s v="Laiba Khan"/>
    <s v="Hyderabad"/>
    <x v="0"/>
    <x v="7"/>
    <x v="0"/>
    <n v="7"/>
    <n v="12000"/>
    <n v="0.1"/>
    <n v="75600"/>
    <x v="6"/>
    <x v="2"/>
    <s v="Check Price"/>
  </r>
  <r>
    <s v="ORD0927"/>
    <x v="257"/>
    <s v="Saad Raza"/>
    <s v="Sialkot"/>
    <x v="1"/>
    <x v="6"/>
    <x v="1"/>
    <n v="7"/>
    <n v="85000"/>
    <n v="0.25"/>
    <n v="446250"/>
    <x v="2"/>
    <x v="1"/>
    <s v="OK"/>
  </r>
  <r>
    <s v="ORD0928"/>
    <x v="195"/>
    <s v="Iqra Khan"/>
    <s v="Islamabad"/>
    <x v="2"/>
    <x v="3"/>
    <x v="2"/>
    <n v="7"/>
    <n v="1500"/>
    <n v="0.1"/>
    <n v="9450"/>
    <x v="7"/>
    <x v="3"/>
    <s v="OK"/>
  </r>
  <r>
    <s v="ORD0929"/>
    <x v="36"/>
    <s v="Ali Khan"/>
    <s v="Lahore"/>
    <x v="0"/>
    <x v="8"/>
    <x v="2"/>
    <n v="4"/>
    <n v="1200"/>
    <n v="0.05"/>
    <n v="4560"/>
    <x v="1"/>
    <x v="2"/>
    <s v="Check Price"/>
  </r>
  <r>
    <s v="ORD0930"/>
    <x v="224"/>
    <s v="Fatima Noor"/>
    <s v="Multan"/>
    <x v="5"/>
    <x v="3"/>
    <x v="2"/>
    <n v="4"/>
    <n v="1500"/>
    <n v="0.1"/>
    <n v="5400"/>
    <x v="9"/>
    <x v="1"/>
    <s v="OK"/>
  </r>
  <r>
    <s v="ORD0931"/>
    <x v="530"/>
    <s v="Sana Ali"/>
    <s v="Rawalpindi"/>
    <x v="5"/>
    <x v="6"/>
    <x v="1"/>
    <n v="1"/>
    <n v="85000"/>
    <n v="0.15"/>
    <n v="72250"/>
    <x v="8"/>
    <x v="0"/>
    <s v="OK"/>
  </r>
  <r>
    <s v="ORD0932"/>
    <x v="97"/>
    <s v="Owais Raza"/>
    <s v="Hyderabad"/>
    <x v="0"/>
    <x v="1"/>
    <x v="0"/>
    <n v="7"/>
    <n v="85000"/>
    <n v="0.1"/>
    <n v="535500"/>
    <x v="6"/>
    <x v="3"/>
    <s v="Check Price"/>
  </r>
  <r>
    <s v="ORD0933"/>
    <x v="386"/>
    <s v="Hamza Ali"/>
    <s v="Karachi"/>
    <x v="3"/>
    <x v="11"/>
    <x v="1"/>
    <n v="3"/>
    <n v="5000"/>
    <n v="0.25"/>
    <n v="11250"/>
    <x v="0"/>
    <x v="2"/>
    <s v="Check Price"/>
  </r>
  <r>
    <s v="ORD0934"/>
    <x v="359"/>
    <s v="Talha Ahmed"/>
    <s v="Quetta"/>
    <x v="3"/>
    <x v="3"/>
    <x v="2"/>
    <n v="3"/>
    <n v="1500"/>
    <n v="0.1"/>
    <n v="4050"/>
    <x v="2"/>
    <x v="3"/>
    <s v="OK"/>
  </r>
  <r>
    <s v="ORD0935"/>
    <x v="531"/>
    <s v="Saad Raza"/>
    <s v="Multan"/>
    <x v="4"/>
    <x v="4"/>
    <x v="1"/>
    <n v="4"/>
    <n v="30000"/>
    <n v="0.1"/>
    <n v="108000"/>
    <x v="6"/>
    <x v="3"/>
    <s v="OK"/>
  </r>
  <r>
    <s v="ORD0936"/>
    <x v="157"/>
    <s v="Mariam Noor"/>
    <s v="Lahore"/>
    <x v="3"/>
    <x v="9"/>
    <x v="2"/>
    <n v="4"/>
    <n v="30000"/>
    <n v="0.05"/>
    <n v="114000"/>
    <x v="4"/>
    <x v="1"/>
    <s v="Check Price"/>
  </r>
  <r>
    <s v="ORD0937"/>
    <x v="47"/>
    <s v="Mariam Noor"/>
    <s v="Rawalpindi"/>
    <x v="4"/>
    <x v="4"/>
    <x v="1"/>
    <n v="5"/>
    <n v="28000"/>
    <n v="0.25"/>
    <n v="105000"/>
    <x v="2"/>
    <x v="1"/>
    <s v="Check Price"/>
  </r>
  <r>
    <s v="ORD0938"/>
    <x v="532"/>
    <s v="Owais Raza"/>
    <s v="Quetta"/>
    <x v="4"/>
    <x v="8"/>
    <x v="1"/>
    <n v="4"/>
    <n v="1200"/>
    <n v="0.15"/>
    <n v="4080"/>
    <x v="6"/>
    <x v="3"/>
    <s v="Check Price"/>
  </r>
  <r>
    <s v="ORD0939"/>
    <x v="401"/>
    <s v="Hamza Ali"/>
    <s v="Hyderabad"/>
    <x v="0"/>
    <x v="0"/>
    <x v="0"/>
    <n v="2"/>
    <n v="22000"/>
    <n v="0.1"/>
    <n v="39600"/>
    <x v="5"/>
    <x v="3"/>
    <s v="OK"/>
  </r>
  <r>
    <s v="ORD0940"/>
    <x v="453"/>
    <s v="Fatima Noor"/>
    <s v="Karachi"/>
    <x v="1"/>
    <x v="9"/>
    <x v="1"/>
    <n v="10"/>
    <n v="1500"/>
    <n v="0.05"/>
    <n v="14250"/>
    <x v="9"/>
    <x v="1"/>
    <s v="Check Price"/>
  </r>
  <r>
    <s v="ORD0941"/>
    <x v="184"/>
    <s v="Saad Raza"/>
    <s v="Islamabad"/>
    <x v="0"/>
    <x v="11"/>
    <x v="2"/>
    <n v="10"/>
    <n v="1500"/>
    <n v="0.15"/>
    <n v="12750"/>
    <x v="0"/>
    <x v="2"/>
    <s v="Check Price"/>
  </r>
  <r>
    <s v="ORD0942"/>
    <x v="134"/>
    <s v="Zain Malik"/>
    <s v="Karachi"/>
    <x v="0"/>
    <x v="3"/>
    <x v="2"/>
    <n v="4"/>
    <n v="1500"/>
    <n v="0.1"/>
    <n v="5400"/>
    <x v="3"/>
    <x v="2"/>
    <s v="OK"/>
  </r>
  <r>
    <s v="ORD0943"/>
    <x v="326"/>
    <s v="Ahmed Raza"/>
    <s v="Peshawar"/>
    <x v="0"/>
    <x v="7"/>
    <x v="2"/>
    <n v="3"/>
    <n v="28000"/>
    <n v="0.2"/>
    <n v="67200"/>
    <x v="1"/>
    <x v="2"/>
    <s v="Check Price"/>
  </r>
  <r>
    <s v="ORD0944"/>
    <x v="434"/>
    <s v="Usman Khan"/>
    <s v="Quetta"/>
    <x v="3"/>
    <x v="0"/>
    <x v="0"/>
    <n v="5"/>
    <n v="22000"/>
    <n v="0.2"/>
    <n v="88000"/>
    <x v="4"/>
    <x v="3"/>
    <s v="OK"/>
  </r>
  <r>
    <s v="ORD0945"/>
    <x v="533"/>
    <s v="Maham Khan"/>
    <s v="Faisalabad"/>
    <x v="2"/>
    <x v="1"/>
    <x v="0"/>
    <n v="8"/>
    <n v="12000"/>
    <n v="0.1"/>
    <n v="86400"/>
    <x v="9"/>
    <x v="2"/>
    <s v="Check Price"/>
  </r>
  <r>
    <s v="ORD0946"/>
    <x v="4"/>
    <s v="Mariam Noor"/>
    <s v="Sialkot"/>
    <x v="0"/>
    <x v="6"/>
    <x v="1"/>
    <n v="10"/>
    <n v="85000"/>
    <n v="0.05"/>
    <n v="807500"/>
    <x v="8"/>
    <x v="0"/>
    <s v="OK"/>
  </r>
  <r>
    <s v="ORD0947"/>
    <x v="71"/>
    <s v="Zain Malik"/>
    <s v="Quetta"/>
    <x v="1"/>
    <x v="10"/>
    <x v="1"/>
    <n v="7"/>
    <n v="85000"/>
    <n v="0.1"/>
    <n v="535500"/>
    <x v="7"/>
    <x v="3"/>
    <s v="Check Price"/>
  </r>
  <r>
    <s v="ORD0948"/>
    <x v="64"/>
    <s v="Fatima Noor"/>
    <s v="Rawalpindi"/>
    <x v="1"/>
    <x v="6"/>
    <x v="1"/>
    <n v="8"/>
    <n v="85000"/>
    <n v="0.2"/>
    <n v="544000"/>
    <x v="0"/>
    <x v="3"/>
    <s v="OK"/>
  </r>
  <r>
    <s v="ORD0949"/>
    <x v="534"/>
    <s v="Talha Ahmed"/>
    <s v="Multan"/>
    <x v="3"/>
    <x v="10"/>
    <x v="1"/>
    <n v="5"/>
    <n v="1200"/>
    <n v="0.2"/>
    <n v="4800"/>
    <x v="8"/>
    <x v="1"/>
    <s v="OK"/>
  </r>
  <r>
    <s v="ORD0950"/>
    <x v="378"/>
    <s v="Sara Ahmed"/>
    <s v="Peshawar"/>
    <x v="4"/>
    <x v="10"/>
    <x v="2"/>
    <n v="7"/>
    <n v="28000"/>
    <n v="0.15"/>
    <n v="166600"/>
    <x v="4"/>
    <x v="3"/>
    <s v="Check Price"/>
  </r>
  <r>
    <s v="ORD0951"/>
    <x v="473"/>
    <s v="Danish Malik"/>
    <s v="Faisalabad"/>
    <x v="3"/>
    <x v="3"/>
    <x v="2"/>
    <n v="6"/>
    <n v="1500"/>
    <n v="0.15"/>
    <n v="7650"/>
    <x v="5"/>
    <x v="2"/>
    <s v="OK"/>
  </r>
  <r>
    <s v="ORD0952"/>
    <x v="462"/>
    <s v="Zain Malik"/>
    <s v="Faisalabad"/>
    <x v="1"/>
    <x v="5"/>
    <x v="1"/>
    <n v="1"/>
    <n v="30000"/>
    <n v="0.2"/>
    <n v="24000"/>
    <x v="9"/>
    <x v="2"/>
    <s v="Check Price"/>
  </r>
  <r>
    <s v="ORD0953"/>
    <x v="535"/>
    <s v="Ayesha Malik"/>
    <s v="Karachi"/>
    <x v="0"/>
    <x v="2"/>
    <x v="1"/>
    <n v="3"/>
    <n v="1500"/>
    <n v="0.15"/>
    <n v="3825"/>
    <x v="3"/>
    <x v="3"/>
    <s v="Check Price"/>
  </r>
  <r>
    <s v="ORD0954"/>
    <x v="536"/>
    <s v="Danish Malik"/>
    <s v="Peshawar"/>
    <x v="2"/>
    <x v="7"/>
    <x v="0"/>
    <n v="6"/>
    <n v="1200"/>
    <n v="0.2"/>
    <n v="5760"/>
    <x v="4"/>
    <x v="3"/>
    <s v="Check Price"/>
  </r>
  <r>
    <s v="ORD0955"/>
    <x v="24"/>
    <s v="Laiba Khan"/>
    <s v="Islamabad"/>
    <x v="4"/>
    <x v="5"/>
    <x v="0"/>
    <n v="9"/>
    <n v="30000"/>
    <n v="0.1"/>
    <n v="243000"/>
    <x v="7"/>
    <x v="2"/>
    <s v="Check Price"/>
  </r>
  <r>
    <s v="ORD0956"/>
    <x v="119"/>
    <s v="Ahmed Raza"/>
    <s v="Peshawar"/>
    <x v="2"/>
    <x v="5"/>
    <x v="2"/>
    <n v="9"/>
    <n v="22000"/>
    <n v="0.1"/>
    <n v="178200"/>
    <x v="0"/>
    <x v="1"/>
    <s v="Check Price"/>
  </r>
  <r>
    <s v="ORD0957"/>
    <x v="508"/>
    <s v="Zain Malik"/>
    <s v="Faisalabad"/>
    <x v="1"/>
    <x v="4"/>
    <x v="1"/>
    <n v="3"/>
    <n v="28000"/>
    <n v="0.05"/>
    <n v="79800"/>
    <x v="1"/>
    <x v="3"/>
    <s v="Check Price"/>
  </r>
  <r>
    <s v="ORD0958"/>
    <x v="351"/>
    <s v="Ayesha Malik"/>
    <s v="Lahore"/>
    <x v="4"/>
    <x v="3"/>
    <x v="2"/>
    <n v="3"/>
    <n v="1500"/>
    <n v="0.05"/>
    <n v="4275"/>
    <x v="3"/>
    <x v="1"/>
    <s v="OK"/>
  </r>
  <r>
    <s v="ORD0959"/>
    <x v="537"/>
    <s v="Mariam Noor"/>
    <s v="Multan"/>
    <x v="4"/>
    <x v="11"/>
    <x v="1"/>
    <n v="1"/>
    <n v="12000"/>
    <n v="0.2"/>
    <n v="9600"/>
    <x v="5"/>
    <x v="1"/>
    <s v="OK"/>
  </r>
  <r>
    <s v="ORD0960"/>
    <x v="538"/>
    <s v="Bilal Ahmed"/>
    <s v="Karachi"/>
    <x v="0"/>
    <x v="2"/>
    <x v="1"/>
    <n v="9"/>
    <n v="4000"/>
    <n v="0.15"/>
    <n v="30600"/>
    <x v="1"/>
    <x v="1"/>
    <s v="Check Price"/>
  </r>
  <r>
    <s v="ORD0961"/>
    <x v="539"/>
    <s v="Maham Khan"/>
    <s v="Karachi"/>
    <x v="2"/>
    <x v="7"/>
    <x v="0"/>
    <n v="9"/>
    <n v="85000"/>
    <n v="0.15"/>
    <n v="650250"/>
    <x v="6"/>
    <x v="3"/>
    <s v="Check Price"/>
  </r>
  <r>
    <s v="ORD0962"/>
    <x v="540"/>
    <s v="Ahmed Raza"/>
    <s v="Quetta"/>
    <x v="4"/>
    <x v="1"/>
    <x v="0"/>
    <n v="4"/>
    <n v="30000"/>
    <n v="0.25"/>
    <n v="90000"/>
    <x v="1"/>
    <x v="2"/>
    <s v="Check Price"/>
  </r>
  <r>
    <s v="ORD0963"/>
    <x v="541"/>
    <s v="Owais Raza"/>
    <s v="Rawalpindi"/>
    <x v="1"/>
    <x v="3"/>
    <x v="2"/>
    <n v="8"/>
    <n v="1500"/>
    <n v="0.05"/>
    <n v="11400"/>
    <x v="5"/>
    <x v="1"/>
    <s v="OK"/>
  </r>
  <r>
    <s v="ORD0964"/>
    <x v="182"/>
    <s v="Sana Ali"/>
    <s v="Islamabad"/>
    <x v="5"/>
    <x v="10"/>
    <x v="1"/>
    <n v="8"/>
    <n v="1200"/>
    <n v="0.15"/>
    <n v="8160"/>
    <x v="9"/>
    <x v="1"/>
    <s v="OK"/>
  </r>
  <r>
    <s v="ORD0965"/>
    <x v="542"/>
    <s v="Sana Ali"/>
    <s v="Rawalpindi"/>
    <x v="2"/>
    <x v="8"/>
    <x v="0"/>
    <n v="3"/>
    <n v="30000"/>
    <n v="0.05"/>
    <n v="85500"/>
    <x v="0"/>
    <x v="1"/>
    <s v="Check Price"/>
  </r>
  <r>
    <s v="ORD0966"/>
    <x v="543"/>
    <s v="Saad Raza"/>
    <s v="Faisalabad"/>
    <x v="4"/>
    <x v="8"/>
    <x v="2"/>
    <n v="8"/>
    <n v="22000"/>
    <n v="0.05"/>
    <n v="167200"/>
    <x v="2"/>
    <x v="2"/>
    <s v="Check Price"/>
  </r>
  <r>
    <s v="ORD0967"/>
    <x v="24"/>
    <s v="Ayesha Malik"/>
    <s v="Lahore"/>
    <x v="5"/>
    <x v="7"/>
    <x v="2"/>
    <n v="2"/>
    <n v="5000"/>
    <n v="0.1"/>
    <n v="9000"/>
    <x v="0"/>
    <x v="2"/>
    <s v="Check Price"/>
  </r>
  <r>
    <s v="ORD0968"/>
    <x v="27"/>
    <s v="Bilal Ahmed"/>
    <s v="Quetta"/>
    <x v="5"/>
    <x v="9"/>
    <x v="1"/>
    <n v="7"/>
    <n v="350"/>
    <n v="0.1"/>
    <n v="2205"/>
    <x v="1"/>
    <x v="3"/>
    <s v="Check Price"/>
  </r>
  <r>
    <s v="ORD0969"/>
    <x v="466"/>
    <s v="Maham Khan"/>
    <s v="Peshawar"/>
    <x v="4"/>
    <x v="3"/>
    <x v="2"/>
    <n v="2"/>
    <n v="1500"/>
    <n v="0.05"/>
    <n v="2850"/>
    <x v="1"/>
    <x v="2"/>
    <s v="OK"/>
  </r>
  <r>
    <s v="ORD0970"/>
    <x v="304"/>
    <s v="Zain Malik"/>
    <s v="Lahore"/>
    <x v="4"/>
    <x v="5"/>
    <x v="1"/>
    <n v="10"/>
    <n v="2500"/>
    <n v="0.1"/>
    <n v="22500"/>
    <x v="1"/>
    <x v="2"/>
    <s v="Check Price"/>
  </r>
  <r>
    <s v="ORD0971"/>
    <x v="544"/>
    <s v="Usman Khan"/>
    <s v="Quetta"/>
    <x v="2"/>
    <x v="11"/>
    <x v="2"/>
    <n v="3"/>
    <n v="30000"/>
    <n v="0.25"/>
    <n v="67500"/>
    <x v="9"/>
    <x v="2"/>
    <s v="Check Price"/>
  </r>
  <r>
    <s v="ORD0972"/>
    <x v="545"/>
    <s v="Danish Malik"/>
    <s v="Faisalabad"/>
    <x v="3"/>
    <x v="9"/>
    <x v="0"/>
    <n v="7"/>
    <n v="85000"/>
    <n v="0.05"/>
    <n v="565250"/>
    <x v="2"/>
    <x v="3"/>
    <s v="Check Price"/>
  </r>
  <r>
    <s v="ORD0973"/>
    <x v="110"/>
    <s v="Ahmed Raza"/>
    <s v="Quetta"/>
    <x v="1"/>
    <x v="7"/>
    <x v="2"/>
    <n v="9"/>
    <n v="1500"/>
    <n v="0.1"/>
    <n v="12150"/>
    <x v="2"/>
    <x v="2"/>
    <s v="Check Price"/>
  </r>
  <r>
    <s v="ORD0974"/>
    <x v="168"/>
    <s v="Hamza Ali"/>
    <s v="Karachi"/>
    <x v="5"/>
    <x v="11"/>
    <x v="1"/>
    <n v="9"/>
    <n v="12000"/>
    <n v="0.15"/>
    <n v="91800"/>
    <x v="5"/>
    <x v="3"/>
    <s v="OK"/>
  </r>
  <r>
    <s v="ORD0975"/>
    <x v="323"/>
    <s v="Hina Shah"/>
    <s v="Karachi"/>
    <x v="1"/>
    <x v="2"/>
    <x v="1"/>
    <n v="7"/>
    <n v="22000"/>
    <n v="0.1"/>
    <n v="138600"/>
    <x v="7"/>
    <x v="1"/>
    <s v="Check Price"/>
  </r>
  <r>
    <s v="ORD0976"/>
    <x v="443"/>
    <s v="Danish Malik"/>
    <s v="Sialkot"/>
    <x v="3"/>
    <x v="1"/>
    <x v="2"/>
    <n v="5"/>
    <n v="1500"/>
    <n v="0.25"/>
    <n v="5625"/>
    <x v="0"/>
    <x v="1"/>
    <s v="Check Price"/>
  </r>
  <r>
    <s v="ORD0977"/>
    <x v="0"/>
    <s v="Maham Khan"/>
    <s v="Rawalpindi"/>
    <x v="3"/>
    <x v="6"/>
    <x v="1"/>
    <n v="8"/>
    <n v="85000"/>
    <n v="0.1"/>
    <n v="612000"/>
    <x v="4"/>
    <x v="1"/>
    <s v="OK"/>
  </r>
  <r>
    <s v="ORD0978"/>
    <x v="546"/>
    <s v="Talha Ahmed"/>
    <s v="Peshawar"/>
    <x v="0"/>
    <x v="10"/>
    <x v="2"/>
    <n v="7"/>
    <n v="1500"/>
    <n v="0.05"/>
    <n v="9975"/>
    <x v="0"/>
    <x v="3"/>
    <s v="Check Price"/>
  </r>
  <r>
    <s v="ORD0979"/>
    <x v="420"/>
    <s v="Hamza Ali"/>
    <s v="Faisalabad"/>
    <x v="4"/>
    <x v="3"/>
    <x v="2"/>
    <n v="1"/>
    <n v="1500"/>
    <n v="0.15"/>
    <n v="1275"/>
    <x v="4"/>
    <x v="3"/>
    <s v="OK"/>
  </r>
  <r>
    <s v="ORD0980"/>
    <x v="165"/>
    <s v="Laiba Khan"/>
    <s v="Hyderabad"/>
    <x v="3"/>
    <x v="11"/>
    <x v="2"/>
    <n v="10"/>
    <n v="5000"/>
    <n v="0.05"/>
    <n v="47500"/>
    <x v="1"/>
    <x v="1"/>
    <s v="Check Price"/>
  </r>
  <r>
    <s v="ORD0981"/>
    <x v="477"/>
    <s v="Danish Malik"/>
    <s v="Karachi"/>
    <x v="0"/>
    <x v="2"/>
    <x v="2"/>
    <n v="7"/>
    <n v="350"/>
    <n v="0.25"/>
    <n v="1837.5"/>
    <x v="4"/>
    <x v="3"/>
    <s v="Check Price"/>
  </r>
  <r>
    <s v="ORD0982"/>
    <x v="547"/>
    <s v="Ali Khan"/>
    <s v="Rawalpindi"/>
    <x v="4"/>
    <x v="2"/>
    <x v="1"/>
    <n v="7"/>
    <n v="85000"/>
    <n v="0.1"/>
    <n v="535500"/>
    <x v="0"/>
    <x v="1"/>
    <s v="Check Price"/>
  </r>
  <r>
    <s v="ORD0983"/>
    <x v="25"/>
    <s v="Ahmed Raza"/>
    <s v="Quetta"/>
    <x v="0"/>
    <x v="3"/>
    <x v="2"/>
    <n v="8"/>
    <n v="1500"/>
    <n v="0.2"/>
    <n v="9600"/>
    <x v="5"/>
    <x v="0"/>
    <s v="OK"/>
  </r>
  <r>
    <s v="ORD0984"/>
    <x v="514"/>
    <s v="Hassan Ahmed"/>
    <s v="Lahore"/>
    <x v="3"/>
    <x v="10"/>
    <x v="1"/>
    <n v="7"/>
    <n v="28000"/>
    <n v="0.15"/>
    <n v="166600"/>
    <x v="1"/>
    <x v="0"/>
    <s v="Check Price"/>
  </r>
  <r>
    <s v="ORD0985"/>
    <x v="351"/>
    <s v="Saad Raza"/>
    <s v="Multan"/>
    <x v="4"/>
    <x v="2"/>
    <x v="0"/>
    <n v="4"/>
    <n v="350"/>
    <n v="0.25"/>
    <n v="1050"/>
    <x v="7"/>
    <x v="0"/>
    <s v="Check Price"/>
  </r>
  <r>
    <s v="ORD0986"/>
    <x v="75"/>
    <s v="Zain Malik"/>
    <s v="Peshawar"/>
    <x v="1"/>
    <x v="9"/>
    <x v="1"/>
    <n v="7"/>
    <n v="5000"/>
    <n v="0.05"/>
    <n v="33250"/>
    <x v="5"/>
    <x v="0"/>
    <s v="Check Price"/>
  </r>
  <r>
    <s v="ORD0987"/>
    <x v="60"/>
    <s v="Sara Ahmed"/>
    <s v="Islamabad"/>
    <x v="5"/>
    <x v="2"/>
    <x v="2"/>
    <n v="4"/>
    <n v="2000"/>
    <n v="0.25"/>
    <n v="6000"/>
    <x v="2"/>
    <x v="1"/>
    <s v="Check Price"/>
  </r>
  <r>
    <s v="ORD0988"/>
    <x v="99"/>
    <s v="Usman Khan"/>
    <s v="Hyderabad"/>
    <x v="5"/>
    <x v="7"/>
    <x v="1"/>
    <n v="5"/>
    <n v="1500"/>
    <n v="0.1"/>
    <n v="6750"/>
    <x v="0"/>
    <x v="3"/>
    <s v="Check Price"/>
  </r>
  <r>
    <s v="ORD0989"/>
    <x v="548"/>
    <s v="Fatima Noor"/>
    <s v="Rawalpindi"/>
    <x v="3"/>
    <x v="0"/>
    <x v="0"/>
    <n v="2"/>
    <n v="22000"/>
    <n v="0.15"/>
    <n v="37400"/>
    <x v="9"/>
    <x v="3"/>
    <s v="OK"/>
  </r>
  <r>
    <s v="ORD0990"/>
    <x v="549"/>
    <s v="Bilal Ahmed"/>
    <s v="Faisalabad"/>
    <x v="2"/>
    <x v="9"/>
    <x v="2"/>
    <n v="6"/>
    <n v="2000"/>
    <n v="0.15"/>
    <n v="10200"/>
    <x v="0"/>
    <x v="2"/>
    <s v="Check Price"/>
  </r>
  <r>
    <s v="ORD0991"/>
    <x v="403"/>
    <s v="Maham Khan"/>
    <s v="Peshawar"/>
    <x v="3"/>
    <x v="7"/>
    <x v="1"/>
    <n v="6"/>
    <n v="5000"/>
    <n v="0.05"/>
    <n v="28500"/>
    <x v="9"/>
    <x v="3"/>
    <s v="Check Price"/>
  </r>
  <r>
    <s v="ORD0992"/>
    <x v="550"/>
    <s v="Sara Ahmed"/>
    <s v="Lahore"/>
    <x v="0"/>
    <x v="8"/>
    <x v="2"/>
    <n v="7"/>
    <n v="350"/>
    <n v="0.15"/>
    <n v="2082.5"/>
    <x v="9"/>
    <x v="2"/>
    <s v="Check Price"/>
  </r>
  <r>
    <s v="ORD0993"/>
    <x v="138"/>
    <s v="Usman Khan"/>
    <s v="Lahore"/>
    <x v="1"/>
    <x v="11"/>
    <x v="2"/>
    <n v="4"/>
    <n v="350"/>
    <n v="0.1"/>
    <n v="1260"/>
    <x v="8"/>
    <x v="2"/>
    <s v="Check Price"/>
  </r>
  <r>
    <s v="ORD0994"/>
    <x v="186"/>
    <s v="Talha Ahmed"/>
    <s v="Multan"/>
    <x v="3"/>
    <x v="11"/>
    <x v="0"/>
    <n v="6"/>
    <n v="350"/>
    <n v="0.05"/>
    <n v="1995"/>
    <x v="7"/>
    <x v="2"/>
    <s v="Check Price"/>
  </r>
  <r>
    <s v="ORD0995"/>
    <x v="399"/>
    <s v="Sana Ali"/>
    <s v="Quetta"/>
    <x v="5"/>
    <x v="6"/>
    <x v="1"/>
    <n v="9"/>
    <n v="85000"/>
    <n v="0.1"/>
    <n v="688500"/>
    <x v="1"/>
    <x v="1"/>
    <s v="OK"/>
  </r>
  <r>
    <s v="ORD0996"/>
    <x v="128"/>
    <s v="Fatima Noor"/>
    <s v="Faisalabad"/>
    <x v="2"/>
    <x v="0"/>
    <x v="0"/>
    <n v="2"/>
    <n v="22000"/>
    <n v="0.1"/>
    <n v="39600"/>
    <x v="3"/>
    <x v="3"/>
    <s v="OK"/>
  </r>
  <r>
    <s v="ORD0997"/>
    <x v="551"/>
    <s v="Saad Raza"/>
    <s v="Hyderabad"/>
    <x v="3"/>
    <x v="1"/>
    <x v="2"/>
    <n v="3"/>
    <n v="2500"/>
    <n v="0.25"/>
    <n v="5625"/>
    <x v="7"/>
    <x v="3"/>
    <s v="Check Price"/>
  </r>
  <r>
    <s v="ORD0998"/>
    <x v="110"/>
    <s v="Fatima Noor"/>
    <s v="Multan"/>
    <x v="1"/>
    <x v="8"/>
    <x v="1"/>
    <n v="10"/>
    <n v="1500"/>
    <n v="0.25"/>
    <n v="11250"/>
    <x v="8"/>
    <x v="1"/>
    <s v="Check Price"/>
  </r>
  <r>
    <s v="ORD0999"/>
    <x v="538"/>
    <s v="Hassan Ahmed"/>
    <s v="Lahore"/>
    <x v="0"/>
    <x v="6"/>
    <x v="1"/>
    <n v="1"/>
    <n v="85000"/>
    <n v="0.05"/>
    <n v="80750"/>
    <x v="1"/>
    <x v="1"/>
    <s v="OK"/>
  </r>
  <r>
    <s v="ORD1000"/>
    <x v="98"/>
    <s v="Ali Khan"/>
    <s v="Karachi"/>
    <x v="0"/>
    <x v="6"/>
    <x v="1"/>
    <n v="1"/>
    <n v="85000"/>
    <n v="0.15"/>
    <n v="72250"/>
    <x v="8"/>
    <x v="1"/>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AEFE80-29DE-40CE-A2FD-7D6759DE6028}" name="PivotTable7"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K12:L16" firstHeaderRow="1" firstDataRow="1" firstDataCol="1"/>
  <pivotFields count="17">
    <pivotField showAll="0"/>
    <pivotField numFmtId="14" showAll="0">
      <items count="553">
        <item x="508"/>
        <item x="468"/>
        <item x="319"/>
        <item x="449"/>
        <item x="40"/>
        <item x="120"/>
        <item x="49"/>
        <item x="429"/>
        <item x="515"/>
        <item x="499"/>
        <item x="355"/>
        <item x="187"/>
        <item x="35"/>
        <item x="493"/>
        <item x="307"/>
        <item x="82"/>
        <item x="340"/>
        <item x="218"/>
        <item x="315"/>
        <item x="284"/>
        <item x="215"/>
        <item x="109"/>
        <item x="228"/>
        <item x="379"/>
        <item x="51"/>
        <item x="69"/>
        <item x="333"/>
        <item x="260"/>
        <item x="163"/>
        <item x="227"/>
        <item x="257"/>
        <item x="29"/>
        <item x="181"/>
        <item x="41"/>
        <item x="504"/>
        <item x="78"/>
        <item x="87"/>
        <item x="371"/>
        <item x="363"/>
        <item x="74"/>
        <item x="145"/>
        <item x="290"/>
        <item x="417"/>
        <item x="264"/>
        <item x="326"/>
        <item x="373"/>
        <item x="273"/>
        <item x="113"/>
        <item x="184"/>
        <item x="198"/>
        <item x="12"/>
        <item x="75"/>
        <item x="115"/>
        <item x="331"/>
        <item x="239"/>
        <item x="139"/>
        <item x="523"/>
        <item x="426"/>
        <item x="13"/>
        <item x="191"/>
        <item x="400"/>
        <item x="296"/>
        <item x="103"/>
        <item x="545"/>
        <item x="352"/>
        <item x="93"/>
        <item x="15"/>
        <item x="158"/>
        <item x="211"/>
        <item x="399"/>
        <item x="131"/>
        <item x="25"/>
        <item x="220"/>
        <item x="302"/>
        <item x="205"/>
        <item x="537"/>
        <item x="166"/>
        <item x="366"/>
        <item x="244"/>
        <item x="27"/>
        <item x="305"/>
        <item x="121"/>
        <item x="186"/>
        <item x="376"/>
        <item x="3"/>
        <item x="18"/>
        <item x="278"/>
        <item x="312"/>
        <item x="0"/>
        <item x="68"/>
        <item x="407"/>
        <item x="529"/>
        <item x="291"/>
        <item x="421"/>
        <item x="497"/>
        <item x="330"/>
        <item x="31"/>
        <item x="77"/>
        <item x="53"/>
        <item x="301"/>
        <item x="345"/>
        <item x="182"/>
        <item x="461"/>
        <item x="265"/>
        <item x="172"/>
        <item x="135"/>
        <item x="274"/>
        <item x="414"/>
        <item x="370"/>
        <item x="118"/>
        <item x="427"/>
        <item x="203"/>
        <item x="256"/>
        <item x="292"/>
        <item x="248"/>
        <item x="362"/>
        <item x="350"/>
        <item x="506"/>
        <item x="262"/>
        <item x="507"/>
        <item x="76"/>
        <item x="346"/>
        <item x="107"/>
        <item x="313"/>
        <item x="202"/>
        <item x="19"/>
        <item x="456"/>
        <item x="271"/>
        <item x="524"/>
        <item x="329"/>
        <item x="153"/>
        <item x="70"/>
        <item x="521"/>
        <item x="238"/>
        <item x="361"/>
        <item x="98"/>
        <item x="59"/>
        <item x="498"/>
        <item x="418"/>
        <item x="5"/>
        <item x="250"/>
        <item x="283"/>
        <item x="173"/>
        <item x="168"/>
        <item x="480"/>
        <item x="408"/>
        <item x="42"/>
        <item x="246"/>
        <item x="117"/>
        <item x="435"/>
        <item x="389"/>
        <item x="180"/>
        <item x="288"/>
        <item x="460"/>
        <item x="405"/>
        <item x="214"/>
        <item x="165"/>
        <item x="392"/>
        <item x="63"/>
        <item x="535"/>
        <item x="351"/>
        <item x="358"/>
        <item x="37"/>
        <item x="161"/>
        <item x="4"/>
        <item x="175"/>
        <item x="105"/>
        <item x="412"/>
        <item x="299"/>
        <item x="281"/>
        <item x="26"/>
        <item x="487"/>
        <item x="314"/>
        <item x="527"/>
        <item x="24"/>
        <item x="130"/>
        <item x="104"/>
        <item x="547"/>
        <item x="83"/>
        <item x="453"/>
        <item x="550"/>
        <item x="368"/>
        <item x="8"/>
        <item x="483"/>
        <item x="496"/>
        <item x="164"/>
        <item x="383"/>
        <item x="10"/>
        <item x="406"/>
        <item x="216"/>
        <item x="212"/>
        <item x="247"/>
        <item x="32"/>
        <item x="428"/>
        <item x="533"/>
        <item x="546"/>
        <item x="544"/>
        <item x="45"/>
        <item x="245"/>
        <item x="133"/>
        <item x="160"/>
        <item x="167"/>
        <item x="382"/>
        <item x="413"/>
        <item x="124"/>
        <item x="142"/>
        <item x="495"/>
        <item x="60"/>
        <item x="112"/>
        <item x="364"/>
        <item x="222"/>
        <item x="344"/>
        <item x="84"/>
        <item x="485"/>
        <item x="280"/>
        <item x="225"/>
        <item x="276"/>
        <item x="295"/>
        <item x="47"/>
        <item x="528"/>
        <item x="272"/>
        <item x="269"/>
        <item x="334"/>
        <item x="439"/>
        <item x="510"/>
        <item x="322"/>
        <item x="548"/>
        <item x="174"/>
        <item x="465"/>
        <item x="67"/>
        <item x="255"/>
        <item x="448"/>
        <item x="388"/>
        <item x="455"/>
        <item x="394"/>
        <item x="306"/>
        <item x="97"/>
        <item x="401"/>
        <item x="169"/>
        <item x="140"/>
        <item x="303"/>
        <item x="73"/>
        <item x="341"/>
        <item x="72"/>
        <item x="534"/>
        <item x="500"/>
        <item x="543"/>
        <item x="282"/>
        <item x="270"/>
        <item x="39"/>
        <item x="425"/>
        <item x="342"/>
        <item x="190"/>
        <item x="441"/>
        <item x="17"/>
        <item x="277"/>
        <item x="267"/>
        <item x="268"/>
        <item x="111"/>
        <item x="20"/>
        <item x="237"/>
        <item x="144"/>
        <item x="488"/>
        <item x="420"/>
        <item x="114"/>
        <item x="252"/>
        <item x="438"/>
        <item x="391"/>
        <item x="61"/>
        <item x="337"/>
        <item x="410"/>
        <item x="197"/>
        <item x="177"/>
        <item x="236"/>
        <item x="229"/>
        <item x="275"/>
        <item x="444"/>
        <item x="110"/>
        <item x="384"/>
        <item x="159"/>
        <item x="57"/>
        <item x="398"/>
        <item x="551"/>
        <item x="381"/>
        <item x="162"/>
        <item x="385"/>
        <item x="349"/>
        <item x="353"/>
        <item x="297"/>
        <item x="81"/>
        <item x="241"/>
        <item x="471"/>
        <item x="325"/>
        <item x="520"/>
        <item x="150"/>
        <item x="478"/>
        <item x="541"/>
        <item x="230"/>
        <item x="193"/>
        <item x="88"/>
        <item x="226"/>
        <item x="397"/>
        <item x="232"/>
        <item x="522"/>
        <item x="323"/>
        <item x="308"/>
        <item x="134"/>
        <item x="101"/>
        <item x="204"/>
        <item x="90"/>
        <item x="502"/>
        <item x="321"/>
        <item x="293"/>
        <item x="473"/>
        <item x="380"/>
        <item x="50"/>
        <item x="409"/>
        <item x="386"/>
        <item x="442"/>
        <item x="258"/>
        <item x="106"/>
        <item x="251"/>
        <item x="390"/>
        <item x="138"/>
        <item x="430"/>
        <item x="231"/>
        <item x="354"/>
        <item x="481"/>
        <item x="472"/>
        <item x="469"/>
        <item x="7"/>
        <item x="416"/>
        <item x="185"/>
        <item x="491"/>
        <item x="503"/>
        <item x="1"/>
        <item x="156"/>
        <item x="183"/>
        <item x="475"/>
        <item x="65"/>
        <item x="474"/>
        <item x="6"/>
        <item x="148"/>
        <item x="317"/>
        <item x="36"/>
        <item x="300"/>
        <item x="213"/>
        <item x="89"/>
        <item x="30"/>
        <item x="320"/>
        <item x="108"/>
        <item x="393"/>
        <item x="56"/>
        <item x="440"/>
        <item x="404"/>
        <item x="411"/>
        <item x="492"/>
        <item x="54"/>
        <item x="505"/>
        <item x="235"/>
        <item x="195"/>
        <item x="489"/>
        <item x="343"/>
        <item x="21"/>
        <item x="494"/>
        <item x="501"/>
        <item x="233"/>
        <item x="242"/>
        <item x="285"/>
        <item x="14"/>
        <item x="432"/>
        <item x="316"/>
        <item x="126"/>
        <item x="436"/>
        <item x="22"/>
        <item x="490"/>
        <item x="261"/>
        <item x="224"/>
        <item x="199"/>
        <item x="470"/>
        <item x="146"/>
        <item x="99"/>
        <item x="324"/>
        <item x="147"/>
        <item x="253"/>
        <item x="518"/>
        <item x="294"/>
        <item x="466"/>
        <item x="194"/>
        <item x="171"/>
        <item x="136"/>
        <item x="92"/>
        <item x="179"/>
        <item x="155"/>
        <item x="210"/>
        <item x="477"/>
        <item x="328"/>
        <item x="512"/>
        <item x="207"/>
        <item x="192"/>
        <item x="318"/>
        <item x="196"/>
        <item x="511"/>
        <item x="48"/>
        <item x="28"/>
        <item x="403"/>
        <item x="335"/>
        <item x="375"/>
        <item x="454"/>
        <item x="514"/>
        <item x="458"/>
        <item x="462"/>
        <item x="71"/>
        <item x="348"/>
        <item x="279"/>
        <item x="463"/>
        <item x="2"/>
        <item x="149"/>
        <item x="338"/>
        <item x="95"/>
        <item x="509"/>
        <item x="538"/>
        <item x="234"/>
        <item x="452"/>
        <item x="387"/>
        <item x="80"/>
        <item x="395"/>
        <item x="443"/>
        <item x="33"/>
        <item x="189"/>
        <item x="437"/>
        <item x="125"/>
        <item x="359"/>
        <item x="532"/>
        <item x="263"/>
        <item x="434"/>
        <item x="287"/>
        <item x="396"/>
        <item x="447"/>
        <item x="200"/>
        <item x="94"/>
        <item x="259"/>
        <item x="151"/>
        <item x="372"/>
        <item x="464"/>
        <item x="536"/>
        <item x="55"/>
        <item x="221"/>
        <item x="123"/>
        <item x="476"/>
        <item x="459"/>
        <item x="467"/>
        <item x="34"/>
        <item x="367"/>
        <item x="374"/>
        <item x="102"/>
        <item x="531"/>
        <item x="219"/>
        <item x="486"/>
        <item x="457"/>
        <item x="347"/>
        <item x="332"/>
        <item x="516"/>
        <item x="143"/>
        <item x="360"/>
        <item x="66"/>
        <item x="9"/>
        <item x="446"/>
        <item x="482"/>
        <item x="79"/>
        <item x="286"/>
        <item x="129"/>
        <item x="208"/>
        <item x="58"/>
        <item x="266"/>
        <item x="542"/>
        <item x="188"/>
        <item x="223"/>
        <item x="52"/>
        <item x="16"/>
        <item x="339"/>
        <item x="451"/>
        <item x="431"/>
        <item x="85"/>
        <item x="513"/>
        <item x="91"/>
        <item x="170"/>
        <item x="217"/>
        <item x="424"/>
        <item x="96"/>
        <item x="141"/>
        <item x="423"/>
        <item x="369"/>
        <item x="433"/>
        <item x="137"/>
        <item x="100"/>
        <item x="419"/>
        <item x="154"/>
        <item x="122"/>
        <item x="128"/>
        <item x="484"/>
        <item x="46"/>
        <item x="336"/>
        <item x="201"/>
        <item x="116"/>
        <item x="23"/>
        <item x="304"/>
        <item x="377"/>
        <item x="530"/>
        <item x="64"/>
        <item x="44"/>
        <item x="378"/>
        <item x="176"/>
        <item x="357"/>
        <item x="289"/>
        <item x="86"/>
        <item x="62"/>
        <item x="240"/>
        <item x="365"/>
        <item x="415"/>
        <item x="450"/>
        <item x="178"/>
        <item x="519"/>
        <item x="479"/>
        <item x="327"/>
        <item x="152"/>
        <item x="310"/>
        <item x="38"/>
        <item x="311"/>
        <item x="132"/>
        <item x="249"/>
        <item x="540"/>
        <item x="356"/>
        <item x="549"/>
        <item x="517"/>
        <item x="526"/>
        <item x="309"/>
        <item x="11"/>
        <item x="43"/>
        <item x="119"/>
        <item x="157"/>
        <item x="206"/>
        <item x="243"/>
        <item x="422"/>
        <item x="127"/>
        <item x="525"/>
        <item x="445"/>
        <item x="402"/>
        <item x="298"/>
        <item x="209"/>
        <item x="539"/>
        <item x="254"/>
        <item t="default"/>
      </items>
    </pivotField>
    <pivotField showAll="0"/>
    <pivotField showAll="0"/>
    <pivotField showAll="0">
      <items count="8">
        <item x="5"/>
        <item x="2"/>
        <item m="1" x="6"/>
        <item x="1"/>
        <item x="4"/>
        <item x="0"/>
        <item x="3"/>
        <item t="default"/>
      </items>
    </pivotField>
    <pivotField showAll="0">
      <items count="13">
        <item x="3"/>
        <item x="8"/>
        <item x="1"/>
        <item x="6"/>
        <item x="4"/>
        <item x="2"/>
        <item x="7"/>
        <item x="11"/>
        <item x="0"/>
        <item x="9"/>
        <item x="10"/>
        <item x="5"/>
        <item t="default"/>
      </items>
    </pivotField>
    <pivotField axis="axisRow" showAll="0">
      <items count="4">
        <item x="1"/>
        <item x="0"/>
        <item x="2"/>
        <item t="default"/>
      </items>
    </pivotField>
    <pivotField showAll="0"/>
    <pivotField showAll="0"/>
    <pivotField showAll="0"/>
    <pivotField dataField="1" showAll="0"/>
    <pivotField showAll="0">
      <items count="11">
        <item x="5"/>
        <item x="0"/>
        <item x="1"/>
        <item x="3"/>
        <item x="6"/>
        <item x="7"/>
        <item x="9"/>
        <item x="4"/>
        <item x="8"/>
        <item x="2"/>
        <item t="default"/>
      </items>
    </pivotField>
    <pivotField showAll="0">
      <items count="5">
        <item x="0"/>
        <item x="2"/>
        <item x="3"/>
        <item x="1"/>
        <item t="default"/>
      </items>
    </pivotField>
    <pivotField showAll="0"/>
    <pivotField showAll="0" defaultSubtotal="0"/>
    <pivotField showAll="0" defaultSubtotal="0"/>
    <pivotField showAll="0" defaultSubtotal="0">
      <items count="5">
        <item x="0"/>
        <item x="1"/>
        <item x="2"/>
        <item x="3"/>
        <item x="4"/>
      </items>
    </pivotField>
  </pivotFields>
  <rowFields count="1">
    <field x="6"/>
  </rowFields>
  <rowItems count="4">
    <i>
      <x/>
    </i>
    <i>
      <x v="1"/>
    </i>
    <i>
      <x v="2"/>
    </i>
    <i t="grand">
      <x/>
    </i>
  </rowItems>
  <colItems count="1">
    <i/>
  </colItems>
  <dataFields count="1">
    <dataField name="Sum of Total Sales" fld="10" baseField="0" baseItem="0"/>
  </dataFields>
  <formats count="18">
    <format dxfId="888">
      <pivotArea type="all" dataOnly="0" outline="0" fieldPosition="0"/>
    </format>
    <format dxfId="889">
      <pivotArea outline="0" collapsedLevelsAreSubtotals="1" fieldPosition="0"/>
    </format>
    <format dxfId="890">
      <pivotArea field="6" type="button" dataOnly="0" labelOnly="1" outline="0" axis="axisRow" fieldPosition="0"/>
    </format>
    <format dxfId="891">
      <pivotArea dataOnly="0" labelOnly="1" fieldPosition="0">
        <references count="1">
          <reference field="6" count="0"/>
        </references>
      </pivotArea>
    </format>
    <format dxfId="892">
      <pivotArea dataOnly="0" labelOnly="1" grandRow="1" outline="0" fieldPosition="0"/>
    </format>
    <format dxfId="893">
      <pivotArea dataOnly="0" labelOnly="1" outline="0" axis="axisValues" fieldPosition="0"/>
    </format>
    <format dxfId="894">
      <pivotArea type="all" dataOnly="0" outline="0" fieldPosition="0"/>
    </format>
    <format dxfId="895">
      <pivotArea outline="0" collapsedLevelsAreSubtotals="1" fieldPosition="0"/>
    </format>
    <format dxfId="896">
      <pivotArea field="6" type="button" dataOnly="0" labelOnly="1" outline="0" axis="axisRow" fieldPosition="0"/>
    </format>
    <format dxfId="897">
      <pivotArea dataOnly="0" labelOnly="1" fieldPosition="0">
        <references count="1">
          <reference field="6" count="0"/>
        </references>
      </pivotArea>
    </format>
    <format dxfId="898">
      <pivotArea dataOnly="0" labelOnly="1" grandRow="1" outline="0" fieldPosition="0"/>
    </format>
    <format dxfId="899">
      <pivotArea dataOnly="0" labelOnly="1" outline="0" axis="axisValues" fieldPosition="0"/>
    </format>
    <format dxfId="900">
      <pivotArea type="all" dataOnly="0" outline="0" fieldPosition="0"/>
    </format>
    <format dxfId="901">
      <pivotArea outline="0" collapsedLevelsAreSubtotals="1" fieldPosition="0"/>
    </format>
    <format dxfId="902">
      <pivotArea field="6" type="button" dataOnly="0" labelOnly="1" outline="0" axis="axisRow" fieldPosition="0"/>
    </format>
    <format dxfId="903">
      <pivotArea dataOnly="0" labelOnly="1" fieldPosition="0">
        <references count="1">
          <reference field="6" count="0"/>
        </references>
      </pivotArea>
    </format>
    <format dxfId="904">
      <pivotArea dataOnly="0" labelOnly="1" grandRow="1" outline="0" fieldPosition="0"/>
    </format>
    <format dxfId="905">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FCFA9D-B8CF-4A8A-B9F5-576E502DED65}" name="PivotTable6"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Region">
  <location ref="K2:L9" firstHeaderRow="1" firstDataRow="1" firstDataCol="1"/>
  <pivotFields count="17">
    <pivotField showAll="0"/>
    <pivotField numFmtId="14" showAll="0">
      <items count="553">
        <item x="508"/>
        <item x="468"/>
        <item x="319"/>
        <item x="449"/>
        <item x="40"/>
        <item x="120"/>
        <item x="49"/>
        <item x="429"/>
        <item x="515"/>
        <item x="499"/>
        <item x="355"/>
        <item x="187"/>
        <item x="35"/>
        <item x="493"/>
        <item x="307"/>
        <item x="82"/>
        <item x="340"/>
        <item x="218"/>
        <item x="315"/>
        <item x="284"/>
        <item x="215"/>
        <item x="109"/>
        <item x="228"/>
        <item x="379"/>
        <item x="51"/>
        <item x="69"/>
        <item x="333"/>
        <item x="260"/>
        <item x="163"/>
        <item x="227"/>
        <item x="257"/>
        <item x="29"/>
        <item x="181"/>
        <item x="41"/>
        <item x="504"/>
        <item x="78"/>
        <item x="87"/>
        <item x="371"/>
        <item x="363"/>
        <item x="74"/>
        <item x="145"/>
        <item x="290"/>
        <item x="417"/>
        <item x="264"/>
        <item x="326"/>
        <item x="373"/>
        <item x="273"/>
        <item x="113"/>
        <item x="184"/>
        <item x="198"/>
        <item x="12"/>
        <item x="75"/>
        <item x="115"/>
        <item x="331"/>
        <item x="239"/>
        <item x="139"/>
        <item x="523"/>
        <item x="426"/>
        <item x="13"/>
        <item x="191"/>
        <item x="400"/>
        <item x="296"/>
        <item x="103"/>
        <item x="545"/>
        <item x="352"/>
        <item x="93"/>
        <item x="15"/>
        <item x="158"/>
        <item x="211"/>
        <item x="399"/>
        <item x="131"/>
        <item x="25"/>
        <item x="220"/>
        <item x="302"/>
        <item x="205"/>
        <item x="537"/>
        <item x="166"/>
        <item x="366"/>
        <item x="244"/>
        <item x="27"/>
        <item x="305"/>
        <item x="121"/>
        <item x="186"/>
        <item x="376"/>
        <item x="3"/>
        <item x="18"/>
        <item x="278"/>
        <item x="312"/>
        <item x="0"/>
        <item x="68"/>
        <item x="407"/>
        <item x="529"/>
        <item x="291"/>
        <item x="421"/>
        <item x="497"/>
        <item x="330"/>
        <item x="31"/>
        <item x="77"/>
        <item x="53"/>
        <item x="301"/>
        <item x="345"/>
        <item x="182"/>
        <item x="461"/>
        <item x="265"/>
        <item x="172"/>
        <item x="135"/>
        <item x="274"/>
        <item x="414"/>
        <item x="370"/>
        <item x="118"/>
        <item x="427"/>
        <item x="203"/>
        <item x="256"/>
        <item x="292"/>
        <item x="248"/>
        <item x="362"/>
        <item x="350"/>
        <item x="506"/>
        <item x="262"/>
        <item x="507"/>
        <item x="76"/>
        <item x="346"/>
        <item x="107"/>
        <item x="313"/>
        <item x="202"/>
        <item x="19"/>
        <item x="456"/>
        <item x="271"/>
        <item x="524"/>
        <item x="329"/>
        <item x="153"/>
        <item x="70"/>
        <item x="521"/>
        <item x="238"/>
        <item x="361"/>
        <item x="98"/>
        <item x="59"/>
        <item x="498"/>
        <item x="418"/>
        <item x="5"/>
        <item x="250"/>
        <item x="283"/>
        <item x="173"/>
        <item x="168"/>
        <item x="480"/>
        <item x="408"/>
        <item x="42"/>
        <item x="246"/>
        <item x="117"/>
        <item x="435"/>
        <item x="389"/>
        <item x="180"/>
        <item x="288"/>
        <item x="460"/>
        <item x="405"/>
        <item x="214"/>
        <item x="165"/>
        <item x="392"/>
        <item x="63"/>
        <item x="535"/>
        <item x="351"/>
        <item x="358"/>
        <item x="37"/>
        <item x="161"/>
        <item x="4"/>
        <item x="175"/>
        <item x="105"/>
        <item x="412"/>
        <item x="299"/>
        <item x="281"/>
        <item x="26"/>
        <item x="487"/>
        <item x="314"/>
        <item x="527"/>
        <item x="24"/>
        <item x="130"/>
        <item x="104"/>
        <item x="547"/>
        <item x="83"/>
        <item x="453"/>
        <item x="550"/>
        <item x="368"/>
        <item x="8"/>
        <item x="483"/>
        <item x="496"/>
        <item x="164"/>
        <item x="383"/>
        <item x="10"/>
        <item x="406"/>
        <item x="216"/>
        <item x="212"/>
        <item x="247"/>
        <item x="32"/>
        <item x="428"/>
        <item x="533"/>
        <item x="546"/>
        <item x="544"/>
        <item x="45"/>
        <item x="245"/>
        <item x="133"/>
        <item x="160"/>
        <item x="167"/>
        <item x="382"/>
        <item x="413"/>
        <item x="124"/>
        <item x="142"/>
        <item x="495"/>
        <item x="60"/>
        <item x="112"/>
        <item x="364"/>
        <item x="222"/>
        <item x="344"/>
        <item x="84"/>
        <item x="485"/>
        <item x="280"/>
        <item x="225"/>
        <item x="276"/>
        <item x="295"/>
        <item x="47"/>
        <item x="528"/>
        <item x="272"/>
        <item x="269"/>
        <item x="334"/>
        <item x="439"/>
        <item x="510"/>
        <item x="322"/>
        <item x="548"/>
        <item x="174"/>
        <item x="465"/>
        <item x="67"/>
        <item x="255"/>
        <item x="448"/>
        <item x="388"/>
        <item x="455"/>
        <item x="394"/>
        <item x="306"/>
        <item x="97"/>
        <item x="401"/>
        <item x="169"/>
        <item x="140"/>
        <item x="303"/>
        <item x="73"/>
        <item x="341"/>
        <item x="72"/>
        <item x="534"/>
        <item x="500"/>
        <item x="543"/>
        <item x="282"/>
        <item x="270"/>
        <item x="39"/>
        <item x="425"/>
        <item x="342"/>
        <item x="190"/>
        <item x="441"/>
        <item x="17"/>
        <item x="277"/>
        <item x="267"/>
        <item x="268"/>
        <item x="111"/>
        <item x="20"/>
        <item x="237"/>
        <item x="144"/>
        <item x="488"/>
        <item x="420"/>
        <item x="114"/>
        <item x="252"/>
        <item x="438"/>
        <item x="391"/>
        <item x="61"/>
        <item x="337"/>
        <item x="410"/>
        <item x="197"/>
        <item x="177"/>
        <item x="236"/>
        <item x="229"/>
        <item x="275"/>
        <item x="444"/>
        <item x="110"/>
        <item x="384"/>
        <item x="159"/>
        <item x="57"/>
        <item x="398"/>
        <item x="551"/>
        <item x="381"/>
        <item x="162"/>
        <item x="385"/>
        <item x="349"/>
        <item x="353"/>
        <item x="297"/>
        <item x="81"/>
        <item x="241"/>
        <item x="471"/>
        <item x="325"/>
        <item x="520"/>
        <item x="150"/>
        <item x="478"/>
        <item x="541"/>
        <item x="230"/>
        <item x="193"/>
        <item x="88"/>
        <item x="226"/>
        <item x="397"/>
        <item x="232"/>
        <item x="522"/>
        <item x="323"/>
        <item x="308"/>
        <item x="134"/>
        <item x="101"/>
        <item x="204"/>
        <item x="90"/>
        <item x="502"/>
        <item x="321"/>
        <item x="293"/>
        <item x="473"/>
        <item x="380"/>
        <item x="50"/>
        <item x="409"/>
        <item x="386"/>
        <item x="442"/>
        <item x="258"/>
        <item x="106"/>
        <item x="251"/>
        <item x="390"/>
        <item x="138"/>
        <item x="430"/>
        <item x="231"/>
        <item x="354"/>
        <item x="481"/>
        <item x="472"/>
        <item x="469"/>
        <item x="7"/>
        <item x="416"/>
        <item x="185"/>
        <item x="491"/>
        <item x="503"/>
        <item x="1"/>
        <item x="156"/>
        <item x="183"/>
        <item x="475"/>
        <item x="65"/>
        <item x="474"/>
        <item x="6"/>
        <item x="148"/>
        <item x="317"/>
        <item x="36"/>
        <item x="300"/>
        <item x="213"/>
        <item x="89"/>
        <item x="30"/>
        <item x="320"/>
        <item x="108"/>
        <item x="393"/>
        <item x="56"/>
        <item x="440"/>
        <item x="404"/>
        <item x="411"/>
        <item x="492"/>
        <item x="54"/>
        <item x="505"/>
        <item x="235"/>
        <item x="195"/>
        <item x="489"/>
        <item x="343"/>
        <item x="21"/>
        <item x="494"/>
        <item x="501"/>
        <item x="233"/>
        <item x="242"/>
        <item x="285"/>
        <item x="14"/>
        <item x="432"/>
        <item x="316"/>
        <item x="126"/>
        <item x="436"/>
        <item x="22"/>
        <item x="490"/>
        <item x="261"/>
        <item x="224"/>
        <item x="199"/>
        <item x="470"/>
        <item x="146"/>
        <item x="99"/>
        <item x="324"/>
        <item x="147"/>
        <item x="253"/>
        <item x="518"/>
        <item x="294"/>
        <item x="466"/>
        <item x="194"/>
        <item x="171"/>
        <item x="136"/>
        <item x="92"/>
        <item x="179"/>
        <item x="155"/>
        <item x="210"/>
        <item x="477"/>
        <item x="328"/>
        <item x="512"/>
        <item x="207"/>
        <item x="192"/>
        <item x="318"/>
        <item x="196"/>
        <item x="511"/>
        <item x="48"/>
        <item x="28"/>
        <item x="403"/>
        <item x="335"/>
        <item x="375"/>
        <item x="454"/>
        <item x="514"/>
        <item x="458"/>
        <item x="462"/>
        <item x="71"/>
        <item x="348"/>
        <item x="279"/>
        <item x="463"/>
        <item x="2"/>
        <item x="149"/>
        <item x="338"/>
        <item x="95"/>
        <item x="509"/>
        <item x="538"/>
        <item x="234"/>
        <item x="452"/>
        <item x="387"/>
        <item x="80"/>
        <item x="395"/>
        <item x="443"/>
        <item x="33"/>
        <item x="189"/>
        <item x="437"/>
        <item x="125"/>
        <item x="359"/>
        <item x="532"/>
        <item x="263"/>
        <item x="434"/>
        <item x="287"/>
        <item x="396"/>
        <item x="447"/>
        <item x="200"/>
        <item x="94"/>
        <item x="259"/>
        <item x="151"/>
        <item x="372"/>
        <item x="464"/>
        <item x="536"/>
        <item x="55"/>
        <item x="221"/>
        <item x="123"/>
        <item x="476"/>
        <item x="459"/>
        <item x="467"/>
        <item x="34"/>
        <item x="367"/>
        <item x="374"/>
        <item x="102"/>
        <item x="531"/>
        <item x="219"/>
        <item x="486"/>
        <item x="457"/>
        <item x="347"/>
        <item x="332"/>
        <item x="516"/>
        <item x="143"/>
        <item x="360"/>
        <item x="66"/>
        <item x="9"/>
        <item x="446"/>
        <item x="482"/>
        <item x="79"/>
        <item x="286"/>
        <item x="129"/>
        <item x="208"/>
        <item x="58"/>
        <item x="266"/>
        <item x="542"/>
        <item x="188"/>
        <item x="223"/>
        <item x="52"/>
        <item x="16"/>
        <item x="339"/>
        <item x="451"/>
        <item x="431"/>
        <item x="85"/>
        <item x="513"/>
        <item x="91"/>
        <item x="170"/>
        <item x="217"/>
        <item x="424"/>
        <item x="96"/>
        <item x="141"/>
        <item x="423"/>
        <item x="369"/>
        <item x="433"/>
        <item x="137"/>
        <item x="100"/>
        <item x="419"/>
        <item x="154"/>
        <item x="122"/>
        <item x="128"/>
        <item x="484"/>
        <item x="46"/>
        <item x="336"/>
        <item x="201"/>
        <item x="116"/>
        <item x="23"/>
        <item x="304"/>
        <item x="377"/>
        <item x="530"/>
        <item x="64"/>
        <item x="44"/>
        <item x="378"/>
        <item x="176"/>
        <item x="357"/>
        <item x="289"/>
        <item x="86"/>
        <item x="62"/>
        <item x="240"/>
        <item x="365"/>
        <item x="415"/>
        <item x="450"/>
        <item x="178"/>
        <item x="519"/>
        <item x="479"/>
        <item x="327"/>
        <item x="152"/>
        <item x="310"/>
        <item x="38"/>
        <item x="311"/>
        <item x="132"/>
        <item x="249"/>
        <item x="540"/>
        <item x="356"/>
        <item x="549"/>
        <item x="517"/>
        <item x="526"/>
        <item x="309"/>
        <item x="11"/>
        <item x="43"/>
        <item x="119"/>
        <item x="157"/>
        <item x="206"/>
        <item x="243"/>
        <item x="422"/>
        <item x="127"/>
        <item x="525"/>
        <item x="445"/>
        <item x="402"/>
        <item x="298"/>
        <item x="209"/>
        <item x="539"/>
        <item x="254"/>
        <item t="default"/>
      </items>
    </pivotField>
    <pivotField showAll="0"/>
    <pivotField showAll="0"/>
    <pivotField axis="axisRow" showAll="0">
      <items count="8">
        <item x="5"/>
        <item x="2"/>
        <item m="1" x="6"/>
        <item x="1"/>
        <item x="4"/>
        <item x="3"/>
        <item x="0"/>
        <item t="default"/>
      </items>
    </pivotField>
    <pivotField showAll="0">
      <items count="13">
        <item x="3"/>
        <item x="8"/>
        <item x="1"/>
        <item x="6"/>
        <item x="4"/>
        <item x="2"/>
        <item x="7"/>
        <item x="11"/>
        <item x="0"/>
        <item x="9"/>
        <item x="10"/>
        <item x="5"/>
        <item t="default"/>
      </items>
    </pivotField>
    <pivotField showAll="0">
      <items count="4">
        <item x="1"/>
        <item x="0"/>
        <item x="2"/>
        <item t="default"/>
      </items>
    </pivotField>
    <pivotField showAll="0"/>
    <pivotField showAll="0"/>
    <pivotField showAll="0"/>
    <pivotField dataField="1" showAll="0"/>
    <pivotField showAll="0">
      <items count="11">
        <item x="5"/>
        <item x="0"/>
        <item x="1"/>
        <item x="3"/>
        <item x="6"/>
        <item x="7"/>
        <item x="9"/>
        <item x="4"/>
        <item x="8"/>
        <item x="2"/>
        <item t="default"/>
      </items>
    </pivotField>
    <pivotField showAll="0">
      <items count="5">
        <item x="0"/>
        <item x="2"/>
        <item x="3"/>
        <item x="1"/>
        <item t="default"/>
      </items>
    </pivotField>
    <pivotField showAll="0"/>
    <pivotField showAll="0" defaultSubtotal="0"/>
    <pivotField showAll="0" defaultSubtotal="0"/>
    <pivotField showAll="0" defaultSubtotal="0">
      <items count="5">
        <item x="0"/>
        <item x="1"/>
        <item x="2"/>
        <item x="3"/>
        <item x="4"/>
      </items>
    </pivotField>
  </pivotFields>
  <rowFields count="1">
    <field x="4"/>
  </rowFields>
  <rowItems count="7">
    <i>
      <x/>
    </i>
    <i>
      <x v="1"/>
    </i>
    <i>
      <x v="3"/>
    </i>
    <i>
      <x v="4"/>
    </i>
    <i>
      <x v="5"/>
    </i>
    <i>
      <x v="6"/>
    </i>
    <i t="grand">
      <x/>
    </i>
  </rowItems>
  <colItems count="1">
    <i/>
  </colItems>
  <dataFields count="1">
    <dataField name="Sum of Total Sales" fld="10" baseField="0" baseItem="0"/>
  </dataFields>
  <formats count="18">
    <format dxfId="1367">
      <pivotArea type="all" dataOnly="0" outline="0" fieldPosition="0"/>
    </format>
    <format dxfId="1366">
      <pivotArea outline="0" collapsedLevelsAreSubtotals="1" fieldPosition="0"/>
    </format>
    <format dxfId="1365">
      <pivotArea field="4" type="button" dataOnly="0" labelOnly="1" outline="0" axis="axisRow" fieldPosition="0"/>
    </format>
    <format dxfId="1364">
      <pivotArea dataOnly="0" labelOnly="1" fieldPosition="0">
        <references count="1">
          <reference field="4" count="0"/>
        </references>
      </pivotArea>
    </format>
    <format dxfId="1363">
      <pivotArea dataOnly="0" labelOnly="1" grandRow="1" outline="0" fieldPosition="0"/>
    </format>
    <format dxfId="1362">
      <pivotArea dataOnly="0" labelOnly="1" outline="0" axis="axisValues" fieldPosition="0"/>
    </format>
    <format dxfId="1361">
      <pivotArea type="all" dataOnly="0" outline="0" fieldPosition="0"/>
    </format>
    <format dxfId="1360">
      <pivotArea outline="0" collapsedLevelsAreSubtotals="1" fieldPosition="0"/>
    </format>
    <format dxfId="1359">
      <pivotArea field="4" type="button" dataOnly="0" labelOnly="1" outline="0" axis="axisRow" fieldPosition="0"/>
    </format>
    <format dxfId="1358">
      <pivotArea dataOnly="0" labelOnly="1" fieldPosition="0">
        <references count="1">
          <reference field="4" count="0"/>
        </references>
      </pivotArea>
    </format>
    <format dxfId="1357">
      <pivotArea dataOnly="0" labelOnly="1" grandRow="1" outline="0" fieldPosition="0"/>
    </format>
    <format dxfId="1356">
      <pivotArea dataOnly="0" labelOnly="1" outline="0" axis="axisValues" fieldPosition="0"/>
    </format>
    <format dxfId="1355">
      <pivotArea type="all" dataOnly="0" outline="0" fieldPosition="0"/>
    </format>
    <format dxfId="1354">
      <pivotArea outline="0" collapsedLevelsAreSubtotals="1" fieldPosition="0"/>
    </format>
    <format dxfId="1353">
      <pivotArea field="4" type="button" dataOnly="0" labelOnly="1" outline="0" axis="axisRow" fieldPosition="0"/>
    </format>
    <format dxfId="1352">
      <pivotArea dataOnly="0" labelOnly="1" fieldPosition="0">
        <references count="1">
          <reference field="4" count="0"/>
        </references>
      </pivotArea>
    </format>
    <format dxfId="1351">
      <pivotArea dataOnly="0" labelOnly="1" grandRow="1" outline="0" fieldPosition="0"/>
    </format>
    <format dxfId="1350">
      <pivotArea dataOnly="0" labelOnly="1" outline="0" axis="axisValues" fieldPosition="0"/>
    </format>
  </formats>
  <chartFormats count="2">
    <chartFormat chart="2" format="1"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TableStyleInfo name="PivotStyleLight1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F0EB62-AD97-491E-9CA5-6E0AF87F2FBB}" name="PivotTable5"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les Person">
  <location ref="H2:I13" firstHeaderRow="1" firstDataRow="1" firstDataCol="1"/>
  <pivotFields count="17">
    <pivotField showAll="0"/>
    <pivotField numFmtId="14" showAll="0">
      <items count="553">
        <item x="508"/>
        <item x="468"/>
        <item x="319"/>
        <item x="449"/>
        <item x="40"/>
        <item x="120"/>
        <item x="49"/>
        <item x="429"/>
        <item x="515"/>
        <item x="499"/>
        <item x="355"/>
        <item x="187"/>
        <item x="35"/>
        <item x="493"/>
        <item x="307"/>
        <item x="82"/>
        <item x="340"/>
        <item x="218"/>
        <item x="315"/>
        <item x="284"/>
        <item x="215"/>
        <item x="109"/>
        <item x="228"/>
        <item x="379"/>
        <item x="51"/>
        <item x="69"/>
        <item x="333"/>
        <item x="260"/>
        <item x="163"/>
        <item x="227"/>
        <item x="257"/>
        <item x="29"/>
        <item x="181"/>
        <item x="41"/>
        <item x="504"/>
        <item x="78"/>
        <item x="87"/>
        <item x="371"/>
        <item x="363"/>
        <item x="74"/>
        <item x="145"/>
        <item x="290"/>
        <item x="417"/>
        <item x="264"/>
        <item x="326"/>
        <item x="373"/>
        <item x="273"/>
        <item x="113"/>
        <item x="184"/>
        <item x="198"/>
        <item x="12"/>
        <item x="75"/>
        <item x="115"/>
        <item x="331"/>
        <item x="239"/>
        <item x="139"/>
        <item x="523"/>
        <item x="426"/>
        <item x="13"/>
        <item x="191"/>
        <item x="400"/>
        <item x="296"/>
        <item x="103"/>
        <item x="545"/>
        <item x="352"/>
        <item x="93"/>
        <item x="15"/>
        <item x="158"/>
        <item x="211"/>
        <item x="399"/>
        <item x="131"/>
        <item x="25"/>
        <item x="220"/>
        <item x="302"/>
        <item x="205"/>
        <item x="537"/>
        <item x="166"/>
        <item x="366"/>
        <item x="244"/>
        <item x="27"/>
        <item x="305"/>
        <item x="121"/>
        <item x="186"/>
        <item x="376"/>
        <item x="3"/>
        <item x="18"/>
        <item x="278"/>
        <item x="312"/>
        <item x="0"/>
        <item x="68"/>
        <item x="407"/>
        <item x="529"/>
        <item x="291"/>
        <item x="421"/>
        <item x="497"/>
        <item x="330"/>
        <item x="31"/>
        <item x="77"/>
        <item x="53"/>
        <item x="301"/>
        <item x="345"/>
        <item x="182"/>
        <item x="461"/>
        <item x="265"/>
        <item x="172"/>
        <item x="135"/>
        <item x="274"/>
        <item x="414"/>
        <item x="370"/>
        <item x="118"/>
        <item x="427"/>
        <item x="203"/>
        <item x="256"/>
        <item x="292"/>
        <item x="248"/>
        <item x="362"/>
        <item x="350"/>
        <item x="506"/>
        <item x="262"/>
        <item x="507"/>
        <item x="76"/>
        <item x="346"/>
        <item x="107"/>
        <item x="313"/>
        <item x="202"/>
        <item x="19"/>
        <item x="456"/>
        <item x="271"/>
        <item x="524"/>
        <item x="329"/>
        <item x="153"/>
        <item x="70"/>
        <item x="521"/>
        <item x="238"/>
        <item x="361"/>
        <item x="98"/>
        <item x="59"/>
        <item x="498"/>
        <item x="418"/>
        <item x="5"/>
        <item x="250"/>
        <item x="283"/>
        <item x="173"/>
        <item x="168"/>
        <item x="480"/>
        <item x="408"/>
        <item x="42"/>
        <item x="246"/>
        <item x="117"/>
        <item x="435"/>
        <item x="389"/>
        <item x="180"/>
        <item x="288"/>
        <item x="460"/>
        <item x="405"/>
        <item x="214"/>
        <item x="165"/>
        <item x="392"/>
        <item x="63"/>
        <item x="535"/>
        <item x="351"/>
        <item x="358"/>
        <item x="37"/>
        <item x="161"/>
        <item x="4"/>
        <item x="175"/>
        <item x="105"/>
        <item x="412"/>
        <item x="299"/>
        <item x="281"/>
        <item x="26"/>
        <item x="487"/>
        <item x="314"/>
        <item x="527"/>
        <item x="24"/>
        <item x="130"/>
        <item x="104"/>
        <item x="547"/>
        <item x="83"/>
        <item x="453"/>
        <item x="550"/>
        <item x="368"/>
        <item x="8"/>
        <item x="483"/>
        <item x="496"/>
        <item x="164"/>
        <item x="383"/>
        <item x="10"/>
        <item x="406"/>
        <item x="216"/>
        <item x="212"/>
        <item x="247"/>
        <item x="32"/>
        <item x="428"/>
        <item x="533"/>
        <item x="546"/>
        <item x="544"/>
        <item x="45"/>
        <item x="245"/>
        <item x="133"/>
        <item x="160"/>
        <item x="167"/>
        <item x="382"/>
        <item x="413"/>
        <item x="124"/>
        <item x="142"/>
        <item x="495"/>
        <item x="60"/>
        <item x="112"/>
        <item x="364"/>
        <item x="222"/>
        <item x="344"/>
        <item x="84"/>
        <item x="485"/>
        <item x="280"/>
        <item x="225"/>
        <item x="276"/>
        <item x="295"/>
        <item x="47"/>
        <item x="528"/>
        <item x="272"/>
        <item x="269"/>
        <item x="334"/>
        <item x="439"/>
        <item x="510"/>
        <item x="322"/>
        <item x="548"/>
        <item x="174"/>
        <item x="465"/>
        <item x="67"/>
        <item x="255"/>
        <item x="448"/>
        <item x="388"/>
        <item x="455"/>
        <item x="394"/>
        <item x="306"/>
        <item x="97"/>
        <item x="401"/>
        <item x="169"/>
        <item x="140"/>
        <item x="303"/>
        <item x="73"/>
        <item x="341"/>
        <item x="72"/>
        <item x="534"/>
        <item x="500"/>
        <item x="543"/>
        <item x="282"/>
        <item x="270"/>
        <item x="39"/>
        <item x="425"/>
        <item x="342"/>
        <item x="190"/>
        <item x="441"/>
        <item x="17"/>
        <item x="277"/>
        <item x="267"/>
        <item x="268"/>
        <item x="111"/>
        <item x="20"/>
        <item x="237"/>
        <item x="144"/>
        <item x="488"/>
        <item x="420"/>
        <item x="114"/>
        <item x="252"/>
        <item x="438"/>
        <item x="391"/>
        <item x="61"/>
        <item x="337"/>
        <item x="410"/>
        <item x="197"/>
        <item x="177"/>
        <item x="236"/>
        <item x="229"/>
        <item x="275"/>
        <item x="444"/>
        <item x="110"/>
        <item x="384"/>
        <item x="159"/>
        <item x="57"/>
        <item x="398"/>
        <item x="551"/>
        <item x="381"/>
        <item x="162"/>
        <item x="385"/>
        <item x="349"/>
        <item x="353"/>
        <item x="297"/>
        <item x="81"/>
        <item x="241"/>
        <item x="471"/>
        <item x="325"/>
        <item x="520"/>
        <item x="150"/>
        <item x="478"/>
        <item x="541"/>
        <item x="230"/>
        <item x="193"/>
        <item x="88"/>
        <item x="226"/>
        <item x="397"/>
        <item x="232"/>
        <item x="522"/>
        <item x="323"/>
        <item x="308"/>
        <item x="134"/>
        <item x="101"/>
        <item x="204"/>
        <item x="90"/>
        <item x="502"/>
        <item x="321"/>
        <item x="293"/>
        <item x="473"/>
        <item x="380"/>
        <item x="50"/>
        <item x="409"/>
        <item x="386"/>
        <item x="442"/>
        <item x="258"/>
        <item x="106"/>
        <item x="251"/>
        <item x="390"/>
        <item x="138"/>
        <item x="430"/>
        <item x="231"/>
        <item x="354"/>
        <item x="481"/>
        <item x="472"/>
        <item x="469"/>
        <item x="7"/>
        <item x="416"/>
        <item x="185"/>
        <item x="491"/>
        <item x="503"/>
        <item x="1"/>
        <item x="156"/>
        <item x="183"/>
        <item x="475"/>
        <item x="65"/>
        <item x="474"/>
        <item x="6"/>
        <item x="148"/>
        <item x="317"/>
        <item x="36"/>
        <item x="300"/>
        <item x="213"/>
        <item x="89"/>
        <item x="30"/>
        <item x="320"/>
        <item x="108"/>
        <item x="393"/>
        <item x="56"/>
        <item x="440"/>
        <item x="404"/>
        <item x="411"/>
        <item x="492"/>
        <item x="54"/>
        <item x="505"/>
        <item x="235"/>
        <item x="195"/>
        <item x="489"/>
        <item x="343"/>
        <item x="21"/>
        <item x="494"/>
        <item x="501"/>
        <item x="233"/>
        <item x="242"/>
        <item x="285"/>
        <item x="14"/>
        <item x="432"/>
        <item x="316"/>
        <item x="126"/>
        <item x="436"/>
        <item x="22"/>
        <item x="490"/>
        <item x="261"/>
        <item x="224"/>
        <item x="199"/>
        <item x="470"/>
        <item x="146"/>
        <item x="99"/>
        <item x="324"/>
        <item x="147"/>
        <item x="253"/>
        <item x="518"/>
        <item x="294"/>
        <item x="466"/>
        <item x="194"/>
        <item x="171"/>
        <item x="136"/>
        <item x="92"/>
        <item x="179"/>
        <item x="155"/>
        <item x="210"/>
        <item x="477"/>
        <item x="328"/>
        <item x="512"/>
        <item x="207"/>
        <item x="192"/>
        <item x="318"/>
        <item x="196"/>
        <item x="511"/>
        <item x="48"/>
        <item x="28"/>
        <item x="403"/>
        <item x="335"/>
        <item x="375"/>
        <item x="454"/>
        <item x="514"/>
        <item x="458"/>
        <item x="462"/>
        <item x="71"/>
        <item x="348"/>
        <item x="279"/>
        <item x="463"/>
        <item x="2"/>
        <item x="149"/>
        <item x="338"/>
        <item x="95"/>
        <item x="509"/>
        <item x="538"/>
        <item x="234"/>
        <item x="452"/>
        <item x="387"/>
        <item x="80"/>
        <item x="395"/>
        <item x="443"/>
        <item x="33"/>
        <item x="189"/>
        <item x="437"/>
        <item x="125"/>
        <item x="359"/>
        <item x="532"/>
        <item x="263"/>
        <item x="434"/>
        <item x="287"/>
        <item x="396"/>
        <item x="447"/>
        <item x="200"/>
        <item x="94"/>
        <item x="259"/>
        <item x="151"/>
        <item x="372"/>
        <item x="464"/>
        <item x="536"/>
        <item x="55"/>
        <item x="221"/>
        <item x="123"/>
        <item x="476"/>
        <item x="459"/>
        <item x="467"/>
        <item x="34"/>
        <item x="367"/>
        <item x="374"/>
        <item x="102"/>
        <item x="531"/>
        <item x="219"/>
        <item x="486"/>
        <item x="457"/>
        <item x="347"/>
        <item x="332"/>
        <item x="516"/>
        <item x="143"/>
        <item x="360"/>
        <item x="66"/>
        <item x="9"/>
        <item x="446"/>
        <item x="482"/>
        <item x="79"/>
        <item x="286"/>
        <item x="129"/>
        <item x="208"/>
        <item x="58"/>
        <item x="266"/>
        <item x="542"/>
        <item x="188"/>
        <item x="223"/>
        <item x="52"/>
        <item x="16"/>
        <item x="339"/>
        <item x="451"/>
        <item x="431"/>
        <item x="85"/>
        <item x="513"/>
        <item x="91"/>
        <item x="170"/>
        <item x="217"/>
        <item x="424"/>
        <item x="96"/>
        <item x="141"/>
        <item x="423"/>
        <item x="369"/>
        <item x="433"/>
        <item x="137"/>
        <item x="100"/>
        <item x="419"/>
        <item x="154"/>
        <item x="122"/>
        <item x="128"/>
        <item x="484"/>
        <item x="46"/>
        <item x="336"/>
        <item x="201"/>
        <item x="116"/>
        <item x="23"/>
        <item x="304"/>
        <item x="377"/>
        <item x="530"/>
        <item x="64"/>
        <item x="44"/>
        <item x="378"/>
        <item x="176"/>
        <item x="357"/>
        <item x="289"/>
        <item x="86"/>
        <item x="62"/>
        <item x="240"/>
        <item x="365"/>
        <item x="415"/>
        <item x="450"/>
        <item x="178"/>
        <item x="519"/>
        <item x="479"/>
        <item x="327"/>
        <item x="152"/>
        <item x="310"/>
        <item x="38"/>
        <item x="311"/>
        <item x="132"/>
        <item x="249"/>
        <item x="540"/>
        <item x="356"/>
        <item x="549"/>
        <item x="517"/>
        <item x="526"/>
        <item x="309"/>
        <item x="11"/>
        <item x="43"/>
        <item x="119"/>
        <item x="157"/>
        <item x="206"/>
        <item x="243"/>
        <item x="422"/>
        <item x="127"/>
        <item x="525"/>
        <item x="445"/>
        <item x="402"/>
        <item x="298"/>
        <item x="209"/>
        <item x="539"/>
        <item x="254"/>
        <item t="default"/>
      </items>
    </pivotField>
    <pivotField showAll="0"/>
    <pivotField showAll="0"/>
    <pivotField showAll="0">
      <items count="8">
        <item x="5"/>
        <item x="2"/>
        <item m="1" x="6"/>
        <item x="1"/>
        <item x="4"/>
        <item x="0"/>
        <item x="3"/>
        <item t="default"/>
      </items>
    </pivotField>
    <pivotField showAll="0">
      <items count="13">
        <item x="3"/>
        <item x="8"/>
        <item x="1"/>
        <item x="6"/>
        <item x="4"/>
        <item x="2"/>
        <item x="7"/>
        <item x="11"/>
        <item x="0"/>
        <item x="9"/>
        <item x="10"/>
        <item x="5"/>
        <item t="default"/>
      </items>
    </pivotField>
    <pivotField showAll="0">
      <items count="4">
        <item x="1"/>
        <item x="0"/>
        <item x="2"/>
        <item t="default"/>
      </items>
    </pivotField>
    <pivotField showAll="0"/>
    <pivotField showAll="0"/>
    <pivotField showAll="0"/>
    <pivotField dataField="1" showAll="0"/>
    <pivotField axis="axisRow" showAll="0">
      <items count="11">
        <item x="5"/>
        <item x="0"/>
        <item x="1"/>
        <item x="3"/>
        <item x="6"/>
        <item x="7"/>
        <item x="9"/>
        <item x="4"/>
        <item x="8"/>
        <item x="2"/>
        <item t="default"/>
      </items>
    </pivotField>
    <pivotField showAll="0">
      <items count="5">
        <item x="0"/>
        <item x="2"/>
        <item x="3"/>
        <item x="1"/>
        <item t="default"/>
      </items>
    </pivotField>
    <pivotField showAll="0"/>
    <pivotField showAll="0" defaultSubtotal="0"/>
    <pivotField showAll="0" defaultSubtotal="0"/>
    <pivotField showAll="0" defaultSubtotal="0">
      <items count="5">
        <item x="0"/>
        <item x="1"/>
        <item x="2"/>
        <item x="3"/>
        <item x="4"/>
      </items>
    </pivotField>
  </pivotFields>
  <rowFields count="1">
    <field x="11"/>
  </rowFields>
  <rowItems count="11">
    <i>
      <x/>
    </i>
    <i>
      <x v="1"/>
    </i>
    <i>
      <x v="2"/>
    </i>
    <i>
      <x v="3"/>
    </i>
    <i>
      <x v="4"/>
    </i>
    <i>
      <x v="5"/>
    </i>
    <i>
      <x v="6"/>
    </i>
    <i>
      <x v="7"/>
    </i>
    <i>
      <x v="8"/>
    </i>
    <i>
      <x v="9"/>
    </i>
    <i t="grand">
      <x/>
    </i>
  </rowItems>
  <colItems count="1">
    <i/>
  </colItems>
  <dataFields count="1">
    <dataField name="Sum of Total Sales" fld="10" baseField="0" baseItem="0"/>
  </dataFields>
  <formats count="18">
    <format dxfId="1385">
      <pivotArea type="all" dataOnly="0" outline="0" fieldPosition="0"/>
    </format>
    <format dxfId="1384">
      <pivotArea outline="0" collapsedLevelsAreSubtotals="1" fieldPosition="0"/>
    </format>
    <format dxfId="1383">
      <pivotArea field="11" type="button" dataOnly="0" labelOnly="1" outline="0" axis="axisRow" fieldPosition="0"/>
    </format>
    <format dxfId="1382">
      <pivotArea dataOnly="0" labelOnly="1" fieldPosition="0">
        <references count="1">
          <reference field="11" count="0"/>
        </references>
      </pivotArea>
    </format>
    <format dxfId="1381">
      <pivotArea dataOnly="0" labelOnly="1" grandRow="1" outline="0" fieldPosition="0"/>
    </format>
    <format dxfId="1380">
      <pivotArea dataOnly="0" labelOnly="1" outline="0" axis="axisValues" fieldPosition="0"/>
    </format>
    <format dxfId="1379">
      <pivotArea type="all" dataOnly="0" outline="0" fieldPosition="0"/>
    </format>
    <format dxfId="1378">
      <pivotArea outline="0" collapsedLevelsAreSubtotals="1" fieldPosition="0"/>
    </format>
    <format dxfId="1377">
      <pivotArea field="11" type="button" dataOnly="0" labelOnly="1" outline="0" axis="axisRow" fieldPosition="0"/>
    </format>
    <format dxfId="1376">
      <pivotArea dataOnly="0" labelOnly="1" fieldPosition="0">
        <references count="1">
          <reference field="11" count="0"/>
        </references>
      </pivotArea>
    </format>
    <format dxfId="1375">
      <pivotArea dataOnly="0" labelOnly="1" grandRow="1" outline="0" fieldPosition="0"/>
    </format>
    <format dxfId="1374">
      <pivotArea dataOnly="0" labelOnly="1" outline="0" axis="axisValues" fieldPosition="0"/>
    </format>
    <format dxfId="1373">
      <pivotArea type="all" dataOnly="0" outline="0" fieldPosition="0"/>
    </format>
    <format dxfId="1372">
      <pivotArea outline="0" collapsedLevelsAreSubtotals="1" fieldPosition="0"/>
    </format>
    <format dxfId="1371">
      <pivotArea field="11" type="button" dataOnly="0" labelOnly="1" outline="0" axis="axisRow" fieldPosition="0"/>
    </format>
    <format dxfId="1370">
      <pivotArea dataOnly="0" labelOnly="1" fieldPosition="0">
        <references count="1">
          <reference field="11" count="0"/>
        </references>
      </pivotArea>
    </format>
    <format dxfId="1369">
      <pivotArea dataOnly="0" labelOnly="1" grandRow="1" outline="0" fieldPosition="0"/>
    </format>
    <format dxfId="1368">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28B5F4-A2B9-4A8C-8028-DAEE7C7AB1B2}" name="PivotTable4"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s">
  <location ref="E2:F15" firstHeaderRow="1" firstDataRow="1" firstDataCol="1"/>
  <pivotFields count="17">
    <pivotField showAll="0"/>
    <pivotField numFmtId="14" showAll="0">
      <items count="553">
        <item x="508"/>
        <item x="468"/>
        <item x="319"/>
        <item x="449"/>
        <item x="40"/>
        <item x="120"/>
        <item x="49"/>
        <item x="429"/>
        <item x="515"/>
        <item x="499"/>
        <item x="355"/>
        <item x="187"/>
        <item x="35"/>
        <item x="493"/>
        <item x="307"/>
        <item x="82"/>
        <item x="340"/>
        <item x="218"/>
        <item x="315"/>
        <item x="284"/>
        <item x="215"/>
        <item x="109"/>
        <item x="228"/>
        <item x="379"/>
        <item x="51"/>
        <item x="69"/>
        <item x="333"/>
        <item x="260"/>
        <item x="163"/>
        <item x="227"/>
        <item x="257"/>
        <item x="29"/>
        <item x="181"/>
        <item x="41"/>
        <item x="504"/>
        <item x="78"/>
        <item x="87"/>
        <item x="371"/>
        <item x="363"/>
        <item x="74"/>
        <item x="145"/>
        <item x="290"/>
        <item x="417"/>
        <item x="264"/>
        <item x="326"/>
        <item x="373"/>
        <item x="273"/>
        <item x="113"/>
        <item x="184"/>
        <item x="198"/>
        <item x="12"/>
        <item x="75"/>
        <item x="115"/>
        <item x="331"/>
        <item x="239"/>
        <item x="139"/>
        <item x="523"/>
        <item x="426"/>
        <item x="13"/>
        <item x="191"/>
        <item x="400"/>
        <item x="296"/>
        <item x="103"/>
        <item x="545"/>
        <item x="352"/>
        <item x="93"/>
        <item x="15"/>
        <item x="158"/>
        <item x="211"/>
        <item x="399"/>
        <item x="131"/>
        <item x="25"/>
        <item x="220"/>
        <item x="302"/>
        <item x="205"/>
        <item x="537"/>
        <item x="166"/>
        <item x="366"/>
        <item x="244"/>
        <item x="27"/>
        <item x="305"/>
        <item x="121"/>
        <item x="186"/>
        <item x="376"/>
        <item x="3"/>
        <item x="18"/>
        <item x="278"/>
        <item x="312"/>
        <item x="0"/>
        <item x="68"/>
        <item x="407"/>
        <item x="529"/>
        <item x="291"/>
        <item x="421"/>
        <item x="497"/>
        <item x="330"/>
        <item x="31"/>
        <item x="77"/>
        <item x="53"/>
        <item x="301"/>
        <item x="345"/>
        <item x="182"/>
        <item x="461"/>
        <item x="265"/>
        <item x="172"/>
        <item x="135"/>
        <item x="274"/>
        <item x="414"/>
        <item x="370"/>
        <item x="118"/>
        <item x="427"/>
        <item x="203"/>
        <item x="256"/>
        <item x="292"/>
        <item x="248"/>
        <item x="362"/>
        <item x="350"/>
        <item x="506"/>
        <item x="262"/>
        <item x="507"/>
        <item x="76"/>
        <item x="346"/>
        <item x="107"/>
        <item x="313"/>
        <item x="202"/>
        <item x="19"/>
        <item x="456"/>
        <item x="271"/>
        <item x="524"/>
        <item x="329"/>
        <item x="153"/>
        <item x="70"/>
        <item x="521"/>
        <item x="238"/>
        <item x="361"/>
        <item x="98"/>
        <item x="59"/>
        <item x="498"/>
        <item x="418"/>
        <item x="5"/>
        <item x="250"/>
        <item x="283"/>
        <item x="173"/>
        <item x="168"/>
        <item x="480"/>
        <item x="408"/>
        <item x="42"/>
        <item x="246"/>
        <item x="117"/>
        <item x="435"/>
        <item x="389"/>
        <item x="180"/>
        <item x="288"/>
        <item x="460"/>
        <item x="405"/>
        <item x="214"/>
        <item x="165"/>
        <item x="392"/>
        <item x="63"/>
        <item x="535"/>
        <item x="351"/>
        <item x="358"/>
        <item x="37"/>
        <item x="161"/>
        <item x="4"/>
        <item x="175"/>
        <item x="105"/>
        <item x="412"/>
        <item x="299"/>
        <item x="281"/>
        <item x="26"/>
        <item x="487"/>
        <item x="314"/>
        <item x="527"/>
        <item x="24"/>
        <item x="130"/>
        <item x="104"/>
        <item x="547"/>
        <item x="83"/>
        <item x="453"/>
        <item x="550"/>
        <item x="368"/>
        <item x="8"/>
        <item x="483"/>
        <item x="496"/>
        <item x="164"/>
        <item x="383"/>
        <item x="10"/>
        <item x="406"/>
        <item x="216"/>
        <item x="212"/>
        <item x="247"/>
        <item x="32"/>
        <item x="428"/>
        <item x="533"/>
        <item x="546"/>
        <item x="544"/>
        <item x="45"/>
        <item x="245"/>
        <item x="133"/>
        <item x="160"/>
        <item x="167"/>
        <item x="382"/>
        <item x="413"/>
        <item x="124"/>
        <item x="142"/>
        <item x="495"/>
        <item x="60"/>
        <item x="112"/>
        <item x="364"/>
        <item x="222"/>
        <item x="344"/>
        <item x="84"/>
        <item x="485"/>
        <item x="280"/>
        <item x="225"/>
        <item x="276"/>
        <item x="295"/>
        <item x="47"/>
        <item x="528"/>
        <item x="272"/>
        <item x="269"/>
        <item x="334"/>
        <item x="439"/>
        <item x="510"/>
        <item x="322"/>
        <item x="548"/>
        <item x="174"/>
        <item x="465"/>
        <item x="67"/>
        <item x="255"/>
        <item x="448"/>
        <item x="388"/>
        <item x="455"/>
        <item x="394"/>
        <item x="306"/>
        <item x="97"/>
        <item x="401"/>
        <item x="169"/>
        <item x="140"/>
        <item x="303"/>
        <item x="73"/>
        <item x="341"/>
        <item x="72"/>
        <item x="534"/>
        <item x="500"/>
        <item x="543"/>
        <item x="282"/>
        <item x="270"/>
        <item x="39"/>
        <item x="425"/>
        <item x="342"/>
        <item x="190"/>
        <item x="441"/>
        <item x="17"/>
        <item x="277"/>
        <item x="267"/>
        <item x="268"/>
        <item x="111"/>
        <item x="20"/>
        <item x="237"/>
        <item x="144"/>
        <item x="488"/>
        <item x="420"/>
        <item x="114"/>
        <item x="252"/>
        <item x="438"/>
        <item x="391"/>
        <item x="61"/>
        <item x="337"/>
        <item x="410"/>
        <item x="197"/>
        <item x="177"/>
        <item x="236"/>
        <item x="229"/>
        <item x="275"/>
        <item x="444"/>
        <item x="110"/>
        <item x="384"/>
        <item x="159"/>
        <item x="57"/>
        <item x="398"/>
        <item x="551"/>
        <item x="381"/>
        <item x="162"/>
        <item x="385"/>
        <item x="349"/>
        <item x="353"/>
        <item x="297"/>
        <item x="81"/>
        <item x="241"/>
        <item x="471"/>
        <item x="325"/>
        <item x="520"/>
        <item x="150"/>
        <item x="478"/>
        <item x="541"/>
        <item x="230"/>
        <item x="193"/>
        <item x="88"/>
        <item x="226"/>
        <item x="397"/>
        <item x="232"/>
        <item x="522"/>
        <item x="323"/>
        <item x="308"/>
        <item x="134"/>
        <item x="101"/>
        <item x="204"/>
        <item x="90"/>
        <item x="502"/>
        <item x="321"/>
        <item x="293"/>
        <item x="473"/>
        <item x="380"/>
        <item x="50"/>
        <item x="409"/>
        <item x="386"/>
        <item x="442"/>
        <item x="258"/>
        <item x="106"/>
        <item x="251"/>
        <item x="390"/>
        <item x="138"/>
        <item x="430"/>
        <item x="231"/>
        <item x="354"/>
        <item x="481"/>
        <item x="472"/>
        <item x="469"/>
        <item x="7"/>
        <item x="416"/>
        <item x="185"/>
        <item x="491"/>
        <item x="503"/>
        <item x="1"/>
        <item x="156"/>
        <item x="183"/>
        <item x="475"/>
        <item x="65"/>
        <item x="474"/>
        <item x="6"/>
        <item x="148"/>
        <item x="317"/>
        <item x="36"/>
        <item x="300"/>
        <item x="213"/>
        <item x="89"/>
        <item x="30"/>
        <item x="320"/>
        <item x="108"/>
        <item x="393"/>
        <item x="56"/>
        <item x="440"/>
        <item x="404"/>
        <item x="411"/>
        <item x="492"/>
        <item x="54"/>
        <item x="505"/>
        <item x="235"/>
        <item x="195"/>
        <item x="489"/>
        <item x="343"/>
        <item x="21"/>
        <item x="494"/>
        <item x="501"/>
        <item x="233"/>
        <item x="242"/>
        <item x="285"/>
        <item x="14"/>
        <item x="432"/>
        <item x="316"/>
        <item x="126"/>
        <item x="436"/>
        <item x="22"/>
        <item x="490"/>
        <item x="261"/>
        <item x="224"/>
        <item x="199"/>
        <item x="470"/>
        <item x="146"/>
        <item x="99"/>
        <item x="324"/>
        <item x="147"/>
        <item x="253"/>
        <item x="518"/>
        <item x="294"/>
        <item x="466"/>
        <item x="194"/>
        <item x="171"/>
        <item x="136"/>
        <item x="92"/>
        <item x="179"/>
        <item x="155"/>
        <item x="210"/>
        <item x="477"/>
        <item x="328"/>
        <item x="512"/>
        <item x="207"/>
        <item x="192"/>
        <item x="318"/>
        <item x="196"/>
        <item x="511"/>
        <item x="48"/>
        <item x="28"/>
        <item x="403"/>
        <item x="335"/>
        <item x="375"/>
        <item x="454"/>
        <item x="514"/>
        <item x="458"/>
        <item x="462"/>
        <item x="71"/>
        <item x="348"/>
        <item x="279"/>
        <item x="463"/>
        <item x="2"/>
        <item x="149"/>
        <item x="338"/>
        <item x="95"/>
        <item x="509"/>
        <item x="538"/>
        <item x="234"/>
        <item x="452"/>
        <item x="387"/>
        <item x="80"/>
        <item x="395"/>
        <item x="443"/>
        <item x="33"/>
        <item x="189"/>
        <item x="437"/>
        <item x="125"/>
        <item x="359"/>
        <item x="532"/>
        <item x="263"/>
        <item x="434"/>
        <item x="287"/>
        <item x="396"/>
        <item x="447"/>
        <item x="200"/>
        <item x="94"/>
        <item x="259"/>
        <item x="151"/>
        <item x="372"/>
        <item x="464"/>
        <item x="536"/>
        <item x="55"/>
        <item x="221"/>
        <item x="123"/>
        <item x="476"/>
        <item x="459"/>
        <item x="467"/>
        <item x="34"/>
        <item x="367"/>
        <item x="374"/>
        <item x="102"/>
        <item x="531"/>
        <item x="219"/>
        <item x="486"/>
        <item x="457"/>
        <item x="347"/>
        <item x="332"/>
        <item x="516"/>
        <item x="143"/>
        <item x="360"/>
        <item x="66"/>
        <item x="9"/>
        <item x="446"/>
        <item x="482"/>
        <item x="79"/>
        <item x="286"/>
        <item x="129"/>
        <item x="208"/>
        <item x="58"/>
        <item x="266"/>
        <item x="542"/>
        <item x="188"/>
        <item x="223"/>
        <item x="52"/>
        <item x="16"/>
        <item x="339"/>
        <item x="451"/>
        <item x="431"/>
        <item x="85"/>
        <item x="513"/>
        <item x="91"/>
        <item x="170"/>
        <item x="217"/>
        <item x="424"/>
        <item x="96"/>
        <item x="141"/>
        <item x="423"/>
        <item x="369"/>
        <item x="433"/>
        <item x="137"/>
        <item x="100"/>
        <item x="419"/>
        <item x="154"/>
        <item x="122"/>
        <item x="128"/>
        <item x="484"/>
        <item x="46"/>
        <item x="336"/>
        <item x="201"/>
        <item x="116"/>
        <item x="23"/>
        <item x="304"/>
        <item x="377"/>
        <item x="530"/>
        <item x="64"/>
        <item x="44"/>
        <item x="378"/>
        <item x="176"/>
        <item x="357"/>
        <item x="289"/>
        <item x="86"/>
        <item x="62"/>
        <item x="240"/>
        <item x="365"/>
        <item x="415"/>
        <item x="450"/>
        <item x="178"/>
        <item x="519"/>
        <item x="479"/>
        <item x="327"/>
        <item x="152"/>
        <item x="310"/>
        <item x="38"/>
        <item x="311"/>
        <item x="132"/>
        <item x="249"/>
        <item x="540"/>
        <item x="356"/>
        <item x="549"/>
        <item x="517"/>
        <item x="526"/>
        <item x="309"/>
        <item x="11"/>
        <item x="43"/>
        <item x="119"/>
        <item x="157"/>
        <item x="206"/>
        <item x="243"/>
        <item x="422"/>
        <item x="127"/>
        <item x="525"/>
        <item x="445"/>
        <item x="402"/>
        <item x="298"/>
        <item x="209"/>
        <item x="539"/>
        <item x="254"/>
        <item t="default"/>
      </items>
    </pivotField>
    <pivotField showAll="0"/>
    <pivotField showAll="0"/>
    <pivotField showAll="0">
      <items count="8">
        <item x="5"/>
        <item x="2"/>
        <item m="1" x="6"/>
        <item x="1"/>
        <item x="4"/>
        <item x="0"/>
        <item x="3"/>
        <item t="default"/>
      </items>
    </pivotField>
    <pivotField axis="axisRow" showAll="0">
      <items count="13">
        <item x="3"/>
        <item x="8"/>
        <item x="1"/>
        <item x="6"/>
        <item x="4"/>
        <item x="2"/>
        <item x="7"/>
        <item x="11"/>
        <item x="0"/>
        <item x="9"/>
        <item x="10"/>
        <item x="5"/>
        <item t="default"/>
      </items>
    </pivotField>
    <pivotField showAll="0">
      <items count="4">
        <item x="1"/>
        <item x="0"/>
        <item x="2"/>
        <item t="default"/>
      </items>
    </pivotField>
    <pivotField showAll="0"/>
    <pivotField showAll="0"/>
    <pivotField showAll="0"/>
    <pivotField dataField="1" showAll="0"/>
    <pivotField showAll="0">
      <items count="11">
        <item x="5"/>
        <item x="0"/>
        <item x="1"/>
        <item x="3"/>
        <item x="6"/>
        <item x="7"/>
        <item x="9"/>
        <item x="4"/>
        <item x="8"/>
        <item x="2"/>
        <item t="default"/>
      </items>
    </pivotField>
    <pivotField showAll="0">
      <items count="5">
        <item x="0"/>
        <item x="2"/>
        <item x="3"/>
        <item x="1"/>
        <item t="default"/>
      </items>
    </pivotField>
    <pivotField showAll="0"/>
    <pivotField showAll="0" defaultSubtotal="0"/>
    <pivotField showAll="0" defaultSubtotal="0"/>
    <pivotField showAll="0" defaultSubtotal="0">
      <items count="5">
        <item x="0"/>
        <item x="1"/>
        <item x="2"/>
        <item x="3"/>
        <item x="4"/>
      </items>
    </pivotField>
  </pivotFields>
  <rowFields count="1">
    <field x="5"/>
  </rowFields>
  <rowItems count="13">
    <i>
      <x/>
    </i>
    <i>
      <x v="1"/>
    </i>
    <i>
      <x v="2"/>
    </i>
    <i>
      <x v="3"/>
    </i>
    <i>
      <x v="4"/>
    </i>
    <i>
      <x v="5"/>
    </i>
    <i>
      <x v="6"/>
    </i>
    <i>
      <x v="7"/>
    </i>
    <i>
      <x v="8"/>
    </i>
    <i>
      <x v="9"/>
    </i>
    <i>
      <x v="10"/>
    </i>
    <i>
      <x v="11"/>
    </i>
    <i t="grand">
      <x/>
    </i>
  </rowItems>
  <colItems count="1">
    <i/>
  </colItems>
  <dataFields count="1">
    <dataField name="Sum of Total Sales" fld="10" baseField="0" baseItem="0"/>
  </dataFields>
  <formats count="18">
    <format dxfId="1403">
      <pivotArea type="all" dataOnly="0" outline="0" fieldPosition="0"/>
    </format>
    <format dxfId="1402">
      <pivotArea outline="0" collapsedLevelsAreSubtotals="1" fieldPosition="0"/>
    </format>
    <format dxfId="1401">
      <pivotArea field="5" type="button" dataOnly="0" labelOnly="1" outline="0" axis="axisRow" fieldPosition="0"/>
    </format>
    <format dxfId="1400">
      <pivotArea dataOnly="0" labelOnly="1" fieldPosition="0">
        <references count="1">
          <reference field="5" count="0"/>
        </references>
      </pivotArea>
    </format>
    <format dxfId="1399">
      <pivotArea dataOnly="0" labelOnly="1" grandRow="1" outline="0" fieldPosition="0"/>
    </format>
    <format dxfId="1398">
      <pivotArea dataOnly="0" labelOnly="1" outline="0" axis="axisValues" fieldPosition="0"/>
    </format>
    <format dxfId="1397">
      <pivotArea type="all" dataOnly="0" outline="0" fieldPosition="0"/>
    </format>
    <format dxfId="1396">
      <pivotArea outline="0" collapsedLevelsAreSubtotals="1" fieldPosition="0"/>
    </format>
    <format dxfId="1395">
      <pivotArea field="5" type="button" dataOnly="0" labelOnly="1" outline="0" axis="axisRow" fieldPosition="0"/>
    </format>
    <format dxfId="1394">
      <pivotArea dataOnly="0" labelOnly="1" fieldPosition="0">
        <references count="1">
          <reference field="5" count="0"/>
        </references>
      </pivotArea>
    </format>
    <format dxfId="1393">
      <pivotArea dataOnly="0" labelOnly="1" grandRow="1" outline="0" fieldPosition="0"/>
    </format>
    <format dxfId="1392">
      <pivotArea dataOnly="0" labelOnly="1" outline="0" axis="axisValues" fieldPosition="0"/>
    </format>
    <format dxfId="1391">
      <pivotArea type="all" dataOnly="0" outline="0" fieldPosition="0"/>
    </format>
    <format dxfId="1390">
      <pivotArea outline="0" collapsedLevelsAreSubtotals="1" fieldPosition="0"/>
    </format>
    <format dxfId="1389">
      <pivotArea field="5" type="button" dataOnly="0" labelOnly="1" outline="0" axis="axisRow" fieldPosition="0"/>
    </format>
    <format dxfId="1388">
      <pivotArea dataOnly="0" labelOnly="1" fieldPosition="0">
        <references count="1">
          <reference field="5" count="0"/>
        </references>
      </pivotArea>
    </format>
    <format dxfId="1387">
      <pivotArea dataOnly="0" labelOnly="1" grandRow="1" outline="0" fieldPosition="0"/>
    </format>
    <format dxfId="1386">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392E3B-ED5F-4BA8-9717-3A8F29D2996F}" name="PivotTable3" cacheId="9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2:C29" firstHeaderRow="1" firstDataRow="1" firstDataCol="2"/>
  <pivotFields count="17">
    <pivotField compact="0" outline="0" subtotalTop="0" showAll="0"/>
    <pivotField compact="0" numFmtId="14" outline="0" subtotalTop="0" showAll="0">
      <items count="553">
        <item x="508"/>
        <item x="468"/>
        <item x="319"/>
        <item x="449"/>
        <item x="40"/>
        <item x="120"/>
        <item x="49"/>
        <item x="429"/>
        <item x="515"/>
        <item x="499"/>
        <item x="355"/>
        <item x="187"/>
        <item x="35"/>
        <item x="493"/>
        <item x="307"/>
        <item x="82"/>
        <item x="340"/>
        <item x="218"/>
        <item x="315"/>
        <item x="284"/>
        <item x="215"/>
        <item x="109"/>
        <item x="228"/>
        <item x="379"/>
        <item x="51"/>
        <item x="69"/>
        <item x="333"/>
        <item x="260"/>
        <item x="163"/>
        <item x="227"/>
        <item x="257"/>
        <item x="29"/>
        <item x="181"/>
        <item x="41"/>
        <item x="504"/>
        <item x="78"/>
        <item x="87"/>
        <item x="371"/>
        <item x="363"/>
        <item x="74"/>
        <item x="145"/>
        <item x="290"/>
        <item x="417"/>
        <item x="264"/>
        <item x="326"/>
        <item x="373"/>
        <item x="273"/>
        <item x="113"/>
        <item x="184"/>
        <item x="198"/>
        <item x="12"/>
        <item x="75"/>
        <item x="115"/>
        <item x="331"/>
        <item x="239"/>
        <item x="139"/>
        <item x="523"/>
        <item x="426"/>
        <item x="13"/>
        <item x="191"/>
        <item x="400"/>
        <item x="296"/>
        <item x="103"/>
        <item x="545"/>
        <item x="352"/>
        <item x="93"/>
        <item x="15"/>
        <item x="158"/>
        <item x="211"/>
        <item x="399"/>
        <item x="131"/>
        <item x="25"/>
        <item x="220"/>
        <item x="302"/>
        <item x="205"/>
        <item x="537"/>
        <item x="166"/>
        <item x="366"/>
        <item x="244"/>
        <item x="27"/>
        <item x="305"/>
        <item x="121"/>
        <item x="186"/>
        <item x="376"/>
        <item x="3"/>
        <item x="18"/>
        <item x="278"/>
        <item x="312"/>
        <item x="0"/>
        <item x="68"/>
        <item x="407"/>
        <item x="529"/>
        <item x="291"/>
        <item x="421"/>
        <item x="497"/>
        <item x="330"/>
        <item x="31"/>
        <item x="77"/>
        <item x="53"/>
        <item x="301"/>
        <item x="345"/>
        <item x="182"/>
        <item x="461"/>
        <item x="265"/>
        <item x="172"/>
        <item x="135"/>
        <item x="274"/>
        <item x="414"/>
        <item x="370"/>
        <item x="118"/>
        <item x="427"/>
        <item x="203"/>
        <item x="256"/>
        <item x="292"/>
        <item x="248"/>
        <item x="362"/>
        <item x="350"/>
        <item x="506"/>
        <item x="262"/>
        <item x="507"/>
        <item x="76"/>
        <item x="346"/>
        <item x="107"/>
        <item x="313"/>
        <item x="202"/>
        <item x="19"/>
        <item x="456"/>
        <item x="271"/>
        <item x="524"/>
        <item x="329"/>
        <item x="153"/>
        <item x="70"/>
        <item x="521"/>
        <item x="238"/>
        <item x="361"/>
        <item x="98"/>
        <item x="59"/>
        <item x="498"/>
        <item x="418"/>
        <item x="5"/>
        <item x="250"/>
        <item x="283"/>
        <item x="173"/>
        <item x="168"/>
        <item x="480"/>
        <item x="408"/>
        <item x="42"/>
        <item x="246"/>
        <item x="117"/>
        <item x="435"/>
        <item x="389"/>
        <item x="180"/>
        <item x="288"/>
        <item x="460"/>
        <item x="405"/>
        <item x="214"/>
        <item x="165"/>
        <item x="392"/>
        <item x="63"/>
        <item x="535"/>
        <item x="351"/>
        <item x="358"/>
        <item x="37"/>
        <item x="161"/>
        <item x="4"/>
        <item x="175"/>
        <item x="105"/>
        <item x="412"/>
        <item x="299"/>
        <item x="281"/>
        <item x="26"/>
        <item x="487"/>
        <item x="314"/>
        <item x="527"/>
        <item x="24"/>
        <item x="130"/>
        <item x="104"/>
        <item x="547"/>
        <item x="83"/>
        <item x="453"/>
        <item x="550"/>
        <item x="368"/>
        <item x="8"/>
        <item x="483"/>
        <item x="496"/>
        <item x="164"/>
        <item x="383"/>
        <item x="10"/>
        <item x="406"/>
        <item x="216"/>
        <item x="212"/>
        <item x="247"/>
        <item x="32"/>
        <item x="428"/>
        <item x="533"/>
        <item x="546"/>
        <item x="544"/>
        <item x="45"/>
        <item x="245"/>
        <item x="133"/>
        <item x="160"/>
        <item x="167"/>
        <item x="382"/>
        <item x="413"/>
        <item x="124"/>
        <item x="142"/>
        <item x="495"/>
        <item x="60"/>
        <item x="112"/>
        <item x="364"/>
        <item x="222"/>
        <item x="344"/>
        <item x="84"/>
        <item x="485"/>
        <item x="280"/>
        <item x="225"/>
        <item x="276"/>
        <item x="295"/>
        <item x="47"/>
        <item x="528"/>
        <item x="272"/>
        <item x="269"/>
        <item x="334"/>
        <item x="439"/>
        <item x="510"/>
        <item x="322"/>
        <item x="548"/>
        <item x="174"/>
        <item x="465"/>
        <item x="67"/>
        <item x="255"/>
        <item x="448"/>
        <item x="388"/>
        <item x="455"/>
        <item x="394"/>
        <item x="306"/>
        <item x="97"/>
        <item x="401"/>
        <item x="169"/>
        <item x="140"/>
        <item x="303"/>
        <item x="73"/>
        <item x="341"/>
        <item x="72"/>
        <item x="534"/>
        <item x="500"/>
        <item x="543"/>
        <item x="282"/>
        <item x="270"/>
        <item x="39"/>
        <item x="425"/>
        <item x="342"/>
        <item x="190"/>
        <item x="441"/>
        <item x="17"/>
        <item x="277"/>
        <item x="267"/>
        <item x="268"/>
        <item x="111"/>
        <item x="20"/>
        <item x="237"/>
        <item x="144"/>
        <item x="488"/>
        <item x="420"/>
        <item x="114"/>
        <item x="252"/>
        <item x="438"/>
        <item x="391"/>
        <item x="61"/>
        <item x="337"/>
        <item x="410"/>
        <item x="197"/>
        <item x="177"/>
        <item x="236"/>
        <item x="229"/>
        <item x="275"/>
        <item x="444"/>
        <item x="110"/>
        <item x="384"/>
        <item x="159"/>
        <item x="57"/>
        <item x="398"/>
        <item x="551"/>
        <item x="381"/>
        <item x="162"/>
        <item x="385"/>
        <item x="349"/>
        <item x="353"/>
        <item x="297"/>
        <item x="81"/>
        <item x="241"/>
        <item x="471"/>
        <item x="325"/>
        <item x="520"/>
        <item x="150"/>
        <item x="478"/>
        <item x="541"/>
        <item x="230"/>
        <item x="193"/>
        <item x="88"/>
        <item x="226"/>
        <item x="397"/>
        <item x="232"/>
        <item x="522"/>
        <item x="323"/>
        <item x="308"/>
        <item x="134"/>
        <item x="101"/>
        <item x="204"/>
        <item x="90"/>
        <item x="502"/>
        <item x="321"/>
        <item x="293"/>
        <item x="473"/>
        <item x="380"/>
        <item x="50"/>
        <item x="409"/>
        <item x="386"/>
        <item x="442"/>
        <item x="258"/>
        <item x="106"/>
        <item x="251"/>
        <item x="390"/>
        <item x="138"/>
        <item x="430"/>
        <item x="231"/>
        <item x="354"/>
        <item x="481"/>
        <item x="472"/>
        <item x="469"/>
        <item x="7"/>
        <item x="416"/>
        <item x="185"/>
        <item x="491"/>
        <item x="503"/>
        <item x="1"/>
        <item x="156"/>
        <item x="183"/>
        <item x="475"/>
        <item x="65"/>
        <item x="474"/>
        <item x="6"/>
        <item x="148"/>
        <item x="317"/>
        <item x="36"/>
        <item x="300"/>
        <item x="213"/>
        <item x="89"/>
        <item x="30"/>
        <item x="320"/>
        <item x="108"/>
        <item x="393"/>
        <item x="56"/>
        <item x="440"/>
        <item x="404"/>
        <item x="411"/>
        <item x="492"/>
        <item x="54"/>
        <item x="505"/>
        <item x="235"/>
        <item x="195"/>
        <item x="489"/>
        <item x="343"/>
        <item x="21"/>
        <item x="494"/>
        <item x="501"/>
        <item x="233"/>
        <item x="242"/>
        <item x="285"/>
        <item x="14"/>
        <item x="432"/>
        <item x="316"/>
        <item x="126"/>
        <item x="436"/>
        <item x="22"/>
        <item x="490"/>
        <item x="261"/>
        <item x="224"/>
        <item x="199"/>
        <item x="470"/>
        <item x="146"/>
        <item x="99"/>
        <item x="324"/>
        <item x="147"/>
        <item x="253"/>
        <item x="518"/>
        <item x="294"/>
        <item x="466"/>
        <item x="194"/>
        <item x="171"/>
        <item x="136"/>
        <item x="92"/>
        <item x="179"/>
        <item x="155"/>
        <item x="210"/>
        <item x="477"/>
        <item x="328"/>
        <item x="512"/>
        <item x="207"/>
        <item x="192"/>
        <item x="318"/>
        <item x="196"/>
        <item x="511"/>
        <item x="48"/>
        <item x="28"/>
        <item x="403"/>
        <item x="335"/>
        <item x="375"/>
        <item x="454"/>
        <item x="514"/>
        <item x="458"/>
        <item x="462"/>
        <item x="71"/>
        <item x="348"/>
        <item x="279"/>
        <item x="463"/>
        <item x="2"/>
        <item x="149"/>
        <item x="338"/>
        <item x="95"/>
        <item x="509"/>
        <item x="538"/>
        <item x="234"/>
        <item x="452"/>
        <item x="387"/>
        <item x="80"/>
        <item x="395"/>
        <item x="443"/>
        <item x="33"/>
        <item x="189"/>
        <item x="437"/>
        <item x="125"/>
        <item x="359"/>
        <item x="532"/>
        <item x="263"/>
        <item x="434"/>
        <item x="287"/>
        <item x="396"/>
        <item x="447"/>
        <item x="200"/>
        <item x="94"/>
        <item x="259"/>
        <item x="151"/>
        <item x="372"/>
        <item x="464"/>
        <item x="536"/>
        <item x="55"/>
        <item x="221"/>
        <item x="123"/>
        <item x="476"/>
        <item x="459"/>
        <item x="467"/>
        <item x="34"/>
        <item x="367"/>
        <item x="374"/>
        <item x="102"/>
        <item x="531"/>
        <item x="219"/>
        <item x="486"/>
        <item x="457"/>
        <item x="347"/>
        <item x="332"/>
        <item x="516"/>
        <item x="143"/>
        <item x="360"/>
        <item x="66"/>
        <item x="9"/>
        <item x="446"/>
        <item x="482"/>
        <item x="79"/>
        <item x="286"/>
        <item x="129"/>
        <item x="208"/>
        <item x="58"/>
        <item x="266"/>
        <item x="542"/>
        <item x="188"/>
        <item x="223"/>
        <item x="52"/>
        <item x="16"/>
        <item x="339"/>
        <item x="451"/>
        <item x="431"/>
        <item x="85"/>
        <item x="513"/>
        <item x="91"/>
        <item x="170"/>
        <item x="217"/>
        <item x="424"/>
        <item x="96"/>
        <item x="141"/>
        <item x="423"/>
        <item x="369"/>
        <item x="433"/>
        <item x="137"/>
        <item x="100"/>
        <item x="419"/>
        <item x="154"/>
        <item x="122"/>
        <item x="128"/>
        <item x="484"/>
        <item x="46"/>
        <item x="336"/>
        <item x="201"/>
        <item x="116"/>
        <item x="23"/>
        <item x="304"/>
        <item x="377"/>
        <item x="530"/>
        <item x="64"/>
        <item x="44"/>
        <item x="378"/>
        <item x="176"/>
        <item x="357"/>
        <item x="289"/>
        <item x="86"/>
        <item x="62"/>
        <item x="240"/>
        <item x="365"/>
        <item x="415"/>
        <item x="450"/>
        <item x="178"/>
        <item x="519"/>
        <item x="479"/>
        <item x="327"/>
        <item x="152"/>
        <item x="310"/>
        <item x="38"/>
        <item x="311"/>
        <item x="132"/>
        <item x="249"/>
        <item x="540"/>
        <item x="356"/>
        <item x="549"/>
        <item x="517"/>
        <item x="526"/>
        <item x="309"/>
        <item x="11"/>
        <item x="43"/>
        <item x="119"/>
        <item x="157"/>
        <item x="206"/>
        <item x="243"/>
        <item x="422"/>
        <item x="127"/>
        <item x="525"/>
        <item x="445"/>
        <item x="402"/>
        <item x="298"/>
        <item x="209"/>
        <item x="539"/>
        <item x="254"/>
        <item t="default"/>
      </items>
    </pivotField>
    <pivotField compact="0" outline="0" subtotalTop="0" showAll="0"/>
    <pivotField compact="0" outline="0" subtotalTop="0" showAll="0"/>
    <pivotField compact="0" outline="0" subtotalTop="0" showAll="0">
      <items count="8">
        <item x="5"/>
        <item x="2"/>
        <item m="1" x="6"/>
        <item x="1"/>
        <item x="4"/>
        <item x="0"/>
        <item x="3"/>
        <item t="default"/>
      </items>
    </pivotField>
    <pivotField compact="0" outline="0" subtotalTop="0" showAll="0">
      <items count="13">
        <item x="3"/>
        <item x="8"/>
        <item x="1"/>
        <item x="6"/>
        <item x="4"/>
        <item x="2"/>
        <item x="7"/>
        <item x="11"/>
        <item x="0"/>
        <item x="9"/>
        <item x="10"/>
        <item x="5"/>
        <item t="default"/>
      </items>
    </pivotField>
    <pivotField compact="0" outline="0" subtotalTop="0" showAll="0">
      <items count="4">
        <item x="1"/>
        <item x="0"/>
        <item x="2"/>
        <item t="default"/>
      </items>
    </pivotField>
    <pivotField compact="0" outline="0" subtotalTop="0" showAll="0"/>
    <pivotField compact="0" outline="0" subtotalTop="0" showAll="0"/>
    <pivotField compact="0" outline="0" subtotalTop="0" showAll="0"/>
    <pivotField dataField="1" compact="0" outline="0" subtotalTop="0" showAll="0"/>
    <pivotField compact="0" outline="0" subtotalTop="0" showAll="0">
      <items count="11">
        <item x="5"/>
        <item x="0"/>
        <item x="1"/>
        <item x="3"/>
        <item x="6"/>
        <item x="7"/>
        <item x="9"/>
        <item x="4"/>
        <item x="8"/>
        <item x="2"/>
        <item t="default"/>
      </items>
    </pivotField>
    <pivotField compact="0" outline="0" subtotalTop="0" showAll="0">
      <items count="5">
        <item x="0"/>
        <item x="2"/>
        <item x="3"/>
        <item x="1"/>
        <item t="default"/>
      </items>
    </pivotField>
    <pivotField compact="0" outline="0" subtotalTop="0" showAll="0"/>
    <pivotField axis="axisRow"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showAll="0">
      <items count="7">
        <item sd="0" x="0"/>
        <item sd="0" x="1"/>
        <item sd="0" x="2"/>
        <item sd="0" x="3"/>
        <item sd="0" x="4"/>
        <item sd="0" x="5"/>
        <item t="default"/>
      </items>
    </pivotField>
    <pivotField axis="axisRow" compact="0" outline="0" subtotalTop="0" showAll="0">
      <items count="6">
        <item sd="0" x="0"/>
        <item x="1"/>
        <item x="2"/>
        <item sd="0" x="3"/>
        <item sd="0" x="4"/>
        <item t="default"/>
      </items>
    </pivotField>
  </pivotFields>
  <rowFields count="2">
    <field x="16"/>
    <field x="14"/>
  </rowFields>
  <rowItems count="27">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t="grand">
      <x/>
    </i>
  </rowItems>
  <colItems count="1">
    <i/>
  </colItems>
  <dataFields count="1">
    <dataField name="Sum of Total Sales" fld="10" baseField="0" baseItem="0"/>
  </dataFields>
  <formats count="30">
    <format dxfId="1433">
      <pivotArea type="all" dataOnly="0" outline="0" fieldPosition="0"/>
    </format>
    <format dxfId="1432">
      <pivotArea outline="0" collapsedLevelsAreSubtotals="1" fieldPosition="0"/>
    </format>
    <format dxfId="1431">
      <pivotArea field="16" type="button" dataOnly="0" labelOnly="1" outline="0" axis="axisRow" fieldPosition="0"/>
    </format>
    <format dxfId="1430">
      <pivotArea field="14" type="button" dataOnly="0" labelOnly="1" outline="0" axis="axisRow" fieldPosition="1"/>
    </format>
    <format dxfId="1429">
      <pivotArea dataOnly="0" labelOnly="1" outline="0" fieldPosition="0">
        <references count="1">
          <reference field="16" count="2">
            <x v="1"/>
            <x v="2"/>
          </reference>
        </references>
      </pivotArea>
    </format>
    <format dxfId="1428">
      <pivotArea dataOnly="0" labelOnly="1" outline="0" fieldPosition="0">
        <references count="1">
          <reference field="16" count="2" defaultSubtotal="1">
            <x v="1"/>
            <x v="2"/>
          </reference>
        </references>
      </pivotArea>
    </format>
    <format dxfId="1427">
      <pivotArea dataOnly="0" labelOnly="1" grandRow="1" outline="0" fieldPosition="0"/>
    </format>
    <format dxfId="1426">
      <pivotArea dataOnly="0" labelOnly="1" outline="0" fieldPosition="0">
        <references count="2">
          <reference field="14" count="12">
            <x v="1"/>
            <x v="2"/>
            <x v="3"/>
            <x v="4"/>
            <x v="5"/>
            <x v="6"/>
            <x v="7"/>
            <x v="8"/>
            <x v="9"/>
            <x v="10"/>
            <x v="11"/>
            <x v="12"/>
          </reference>
          <reference field="16" count="1" selected="0">
            <x v="1"/>
          </reference>
        </references>
      </pivotArea>
    </format>
    <format dxfId="1425">
      <pivotArea dataOnly="0" labelOnly="1" outline="0" fieldPosition="0">
        <references count="2">
          <reference field="14" count="12">
            <x v="1"/>
            <x v="2"/>
            <x v="3"/>
            <x v="4"/>
            <x v="5"/>
            <x v="6"/>
            <x v="7"/>
            <x v="8"/>
            <x v="9"/>
            <x v="10"/>
            <x v="11"/>
            <x v="12"/>
          </reference>
          <reference field="16" count="1" selected="0">
            <x v="2"/>
          </reference>
        </references>
      </pivotArea>
    </format>
    <format dxfId="1424">
      <pivotArea dataOnly="0" labelOnly="1" outline="0" axis="axisValues" fieldPosition="0"/>
    </format>
    <format dxfId="1423">
      <pivotArea type="all" dataOnly="0" outline="0" fieldPosition="0"/>
    </format>
    <format dxfId="1422">
      <pivotArea outline="0" collapsedLevelsAreSubtotals="1" fieldPosition="0"/>
    </format>
    <format dxfId="1421">
      <pivotArea field="16" type="button" dataOnly="0" labelOnly="1" outline="0" axis="axisRow" fieldPosition="0"/>
    </format>
    <format dxfId="1420">
      <pivotArea field="14" type="button" dataOnly="0" labelOnly="1" outline="0" axis="axisRow" fieldPosition="1"/>
    </format>
    <format dxfId="1419">
      <pivotArea dataOnly="0" labelOnly="1" outline="0" fieldPosition="0">
        <references count="1">
          <reference field="16" count="2">
            <x v="1"/>
            <x v="2"/>
          </reference>
        </references>
      </pivotArea>
    </format>
    <format dxfId="1418">
      <pivotArea dataOnly="0" labelOnly="1" outline="0" fieldPosition="0">
        <references count="1">
          <reference field="16" count="2" defaultSubtotal="1">
            <x v="1"/>
            <x v="2"/>
          </reference>
        </references>
      </pivotArea>
    </format>
    <format dxfId="1417">
      <pivotArea dataOnly="0" labelOnly="1" grandRow="1" outline="0" fieldPosition="0"/>
    </format>
    <format dxfId="1416">
      <pivotArea dataOnly="0" labelOnly="1" outline="0" fieldPosition="0">
        <references count="2">
          <reference field="14" count="12">
            <x v="1"/>
            <x v="2"/>
            <x v="3"/>
            <x v="4"/>
            <x v="5"/>
            <x v="6"/>
            <x v="7"/>
            <x v="8"/>
            <x v="9"/>
            <x v="10"/>
            <x v="11"/>
            <x v="12"/>
          </reference>
          <reference field="16" count="1" selected="0">
            <x v="1"/>
          </reference>
        </references>
      </pivotArea>
    </format>
    <format dxfId="1415">
      <pivotArea dataOnly="0" labelOnly="1" outline="0" fieldPosition="0">
        <references count="2">
          <reference field="14" count="12">
            <x v="1"/>
            <x v="2"/>
            <x v="3"/>
            <x v="4"/>
            <x v="5"/>
            <x v="6"/>
            <x v="7"/>
            <x v="8"/>
            <x v="9"/>
            <x v="10"/>
            <x v="11"/>
            <x v="12"/>
          </reference>
          <reference field="16" count="1" selected="0">
            <x v="2"/>
          </reference>
        </references>
      </pivotArea>
    </format>
    <format dxfId="1414">
      <pivotArea dataOnly="0" labelOnly="1" outline="0" axis="axisValues" fieldPosition="0"/>
    </format>
    <format dxfId="1413">
      <pivotArea type="all" dataOnly="0" outline="0" fieldPosition="0"/>
    </format>
    <format dxfId="1412">
      <pivotArea outline="0" collapsedLevelsAreSubtotals="1" fieldPosition="0"/>
    </format>
    <format dxfId="1411">
      <pivotArea field="16" type="button" dataOnly="0" labelOnly="1" outline="0" axis="axisRow" fieldPosition="0"/>
    </format>
    <format dxfId="1410">
      <pivotArea field="14" type="button" dataOnly="0" labelOnly="1" outline="0" axis="axisRow" fieldPosition="1"/>
    </format>
    <format dxfId="1409">
      <pivotArea dataOnly="0" labelOnly="1" outline="0" fieldPosition="0">
        <references count="1">
          <reference field="16" count="2">
            <x v="1"/>
            <x v="2"/>
          </reference>
        </references>
      </pivotArea>
    </format>
    <format dxfId="1408">
      <pivotArea dataOnly="0" labelOnly="1" outline="0" fieldPosition="0">
        <references count="1">
          <reference field="16" count="2" defaultSubtotal="1">
            <x v="1"/>
            <x v="2"/>
          </reference>
        </references>
      </pivotArea>
    </format>
    <format dxfId="1407">
      <pivotArea dataOnly="0" labelOnly="1" grandRow="1" outline="0" fieldPosition="0"/>
    </format>
    <format dxfId="1406">
      <pivotArea dataOnly="0" labelOnly="1" outline="0" fieldPosition="0">
        <references count="2">
          <reference field="14" count="12">
            <x v="1"/>
            <x v="2"/>
            <x v="3"/>
            <x v="4"/>
            <x v="5"/>
            <x v="6"/>
            <x v="7"/>
            <x v="8"/>
            <x v="9"/>
            <x v="10"/>
            <x v="11"/>
            <x v="12"/>
          </reference>
          <reference field="16" count="1" selected="0">
            <x v="1"/>
          </reference>
        </references>
      </pivotArea>
    </format>
    <format dxfId="1405">
      <pivotArea dataOnly="0" labelOnly="1" outline="0" fieldPosition="0">
        <references count="2">
          <reference field="14" count="12">
            <x v="1"/>
            <x v="2"/>
            <x v="3"/>
            <x v="4"/>
            <x v="5"/>
            <x v="6"/>
            <x v="7"/>
            <x v="8"/>
            <x v="9"/>
            <x v="10"/>
            <x v="11"/>
            <x v="12"/>
          </reference>
          <reference field="16" count="1" selected="0">
            <x v="2"/>
          </reference>
        </references>
      </pivotArea>
    </format>
    <format dxfId="1404">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9" showRowHeaders="0"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61224D-FF62-4295-9B52-9E50A382006D}" name="PivotTable8"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2:C33" firstHeaderRow="0" firstDataRow="1" firstDataCol="0"/>
  <pivotFields count="17">
    <pivotField dataField="1" showAll="0"/>
    <pivotField numFmtId="14" showAll="0">
      <items count="553">
        <item x="508"/>
        <item x="468"/>
        <item x="319"/>
        <item x="449"/>
        <item x="40"/>
        <item x="120"/>
        <item x="49"/>
        <item x="429"/>
        <item x="515"/>
        <item x="499"/>
        <item x="355"/>
        <item x="187"/>
        <item x="35"/>
        <item x="493"/>
        <item x="307"/>
        <item x="82"/>
        <item x="340"/>
        <item x="218"/>
        <item x="315"/>
        <item x="284"/>
        <item x="215"/>
        <item x="109"/>
        <item x="228"/>
        <item x="379"/>
        <item x="51"/>
        <item x="69"/>
        <item x="333"/>
        <item x="260"/>
        <item x="163"/>
        <item x="227"/>
        <item x="257"/>
        <item x="29"/>
        <item x="181"/>
        <item x="41"/>
        <item x="504"/>
        <item x="78"/>
        <item x="87"/>
        <item x="371"/>
        <item x="363"/>
        <item x="74"/>
        <item x="145"/>
        <item x="290"/>
        <item x="417"/>
        <item x="264"/>
        <item x="326"/>
        <item x="373"/>
        <item x="273"/>
        <item x="113"/>
        <item x="184"/>
        <item x="198"/>
        <item x="12"/>
        <item x="75"/>
        <item x="115"/>
        <item x="331"/>
        <item x="239"/>
        <item x="139"/>
        <item x="523"/>
        <item x="426"/>
        <item x="13"/>
        <item x="191"/>
        <item x="400"/>
        <item x="296"/>
        <item x="103"/>
        <item x="545"/>
        <item x="352"/>
        <item x="93"/>
        <item x="15"/>
        <item x="158"/>
        <item x="211"/>
        <item x="399"/>
        <item x="131"/>
        <item x="25"/>
        <item x="220"/>
        <item x="302"/>
        <item x="205"/>
        <item x="537"/>
        <item x="166"/>
        <item x="366"/>
        <item x="244"/>
        <item x="27"/>
        <item x="305"/>
        <item x="121"/>
        <item x="186"/>
        <item x="376"/>
        <item x="3"/>
        <item x="18"/>
        <item x="278"/>
        <item x="312"/>
        <item x="0"/>
        <item x="68"/>
        <item x="407"/>
        <item x="529"/>
        <item x="291"/>
        <item x="421"/>
        <item x="497"/>
        <item x="330"/>
        <item x="31"/>
        <item x="77"/>
        <item x="53"/>
        <item x="301"/>
        <item x="345"/>
        <item x="182"/>
        <item x="461"/>
        <item x="265"/>
        <item x="172"/>
        <item x="135"/>
        <item x="274"/>
        <item x="414"/>
        <item x="370"/>
        <item x="118"/>
        <item x="427"/>
        <item x="203"/>
        <item x="256"/>
        <item x="292"/>
        <item x="248"/>
        <item x="362"/>
        <item x="350"/>
        <item x="506"/>
        <item x="262"/>
        <item x="507"/>
        <item x="76"/>
        <item x="346"/>
        <item x="107"/>
        <item x="313"/>
        <item x="202"/>
        <item x="19"/>
        <item x="456"/>
        <item x="271"/>
        <item x="524"/>
        <item x="329"/>
        <item x="153"/>
        <item x="70"/>
        <item x="521"/>
        <item x="238"/>
        <item x="361"/>
        <item x="98"/>
        <item x="59"/>
        <item x="498"/>
        <item x="418"/>
        <item x="5"/>
        <item x="250"/>
        <item x="283"/>
        <item x="173"/>
        <item x="168"/>
        <item x="480"/>
        <item x="408"/>
        <item x="42"/>
        <item x="246"/>
        <item x="117"/>
        <item x="435"/>
        <item x="389"/>
        <item x="180"/>
        <item x="288"/>
        <item x="460"/>
        <item x="405"/>
        <item x="214"/>
        <item x="165"/>
        <item x="392"/>
        <item x="63"/>
        <item x="535"/>
        <item x="351"/>
        <item x="358"/>
        <item x="37"/>
        <item x="161"/>
        <item x="4"/>
        <item x="175"/>
        <item x="105"/>
        <item x="412"/>
        <item x="299"/>
        <item x="281"/>
        <item x="26"/>
        <item x="487"/>
        <item x="314"/>
        <item x="527"/>
        <item x="24"/>
        <item x="130"/>
        <item x="104"/>
        <item x="547"/>
        <item x="83"/>
        <item x="453"/>
        <item x="550"/>
        <item x="368"/>
        <item x="8"/>
        <item x="483"/>
        <item x="496"/>
        <item x="164"/>
        <item x="383"/>
        <item x="10"/>
        <item x="406"/>
        <item x="216"/>
        <item x="212"/>
        <item x="247"/>
        <item x="32"/>
        <item x="428"/>
        <item x="533"/>
        <item x="546"/>
        <item x="544"/>
        <item x="45"/>
        <item x="245"/>
        <item x="133"/>
        <item x="160"/>
        <item x="167"/>
        <item x="382"/>
        <item x="413"/>
        <item x="124"/>
        <item x="142"/>
        <item x="495"/>
        <item x="60"/>
        <item x="112"/>
        <item x="364"/>
        <item x="222"/>
        <item x="344"/>
        <item x="84"/>
        <item x="485"/>
        <item x="280"/>
        <item x="225"/>
        <item x="276"/>
        <item x="295"/>
        <item x="47"/>
        <item x="528"/>
        <item x="272"/>
        <item x="269"/>
        <item x="334"/>
        <item x="439"/>
        <item x="510"/>
        <item x="322"/>
        <item x="548"/>
        <item x="174"/>
        <item x="465"/>
        <item x="67"/>
        <item x="255"/>
        <item x="448"/>
        <item x="388"/>
        <item x="455"/>
        <item x="394"/>
        <item x="306"/>
        <item x="97"/>
        <item x="401"/>
        <item x="169"/>
        <item x="140"/>
        <item x="303"/>
        <item x="73"/>
        <item x="341"/>
        <item x="72"/>
        <item x="534"/>
        <item x="500"/>
        <item x="543"/>
        <item x="282"/>
        <item x="270"/>
        <item x="39"/>
        <item x="425"/>
        <item x="342"/>
        <item x="190"/>
        <item x="441"/>
        <item x="17"/>
        <item x="277"/>
        <item x="267"/>
        <item x="268"/>
        <item x="111"/>
        <item x="20"/>
        <item x="237"/>
        <item x="144"/>
        <item x="488"/>
        <item x="420"/>
        <item x="114"/>
        <item x="252"/>
        <item x="438"/>
        <item x="391"/>
        <item x="61"/>
        <item x="337"/>
        <item x="410"/>
        <item x="197"/>
        <item x="177"/>
        <item x="236"/>
        <item x="229"/>
        <item x="275"/>
        <item x="444"/>
        <item x="110"/>
        <item x="384"/>
        <item x="159"/>
        <item x="57"/>
        <item x="398"/>
        <item x="551"/>
        <item x="381"/>
        <item x="162"/>
        <item x="385"/>
        <item x="349"/>
        <item x="353"/>
        <item x="297"/>
        <item x="81"/>
        <item x="241"/>
        <item x="471"/>
        <item x="325"/>
        <item x="520"/>
        <item x="150"/>
        <item x="478"/>
        <item x="541"/>
        <item x="230"/>
        <item x="193"/>
        <item x="88"/>
        <item x="226"/>
        <item x="397"/>
        <item x="232"/>
        <item x="522"/>
        <item x="323"/>
        <item x="308"/>
        <item x="134"/>
        <item x="101"/>
        <item x="204"/>
        <item x="90"/>
        <item x="502"/>
        <item x="321"/>
        <item x="293"/>
        <item x="473"/>
        <item x="380"/>
        <item x="50"/>
        <item x="409"/>
        <item x="386"/>
        <item x="442"/>
        <item x="258"/>
        <item x="106"/>
        <item x="251"/>
        <item x="390"/>
        <item x="138"/>
        <item x="430"/>
        <item x="231"/>
        <item x="354"/>
        <item x="481"/>
        <item x="472"/>
        <item x="469"/>
        <item x="7"/>
        <item x="416"/>
        <item x="185"/>
        <item x="491"/>
        <item x="503"/>
        <item x="1"/>
        <item x="156"/>
        <item x="183"/>
        <item x="475"/>
        <item x="65"/>
        <item x="474"/>
        <item x="6"/>
        <item x="148"/>
        <item x="317"/>
        <item x="36"/>
        <item x="300"/>
        <item x="213"/>
        <item x="89"/>
        <item x="30"/>
        <item x="320"/>
        <item x="108"/>
        <item x="393"/>
        <item x="56"/>
        <item x="440"/>
        <item x="404"/>
        <item x="411"/>
        <item x="492"/>
        <item x="54"/>
        <item x="505"/>
        <item x="235"/>
        <item x="195"/>
        <item x="489"/>
        <item x="343"/>
        <item x="21"/>
        <item x="494"/>
        <item x="501"/>
        <item x="233"/>
        <item x="242"/>
        <item x="285"/>
        <item x="14"/>
        <item x="432"/>
        <item x="316"/>
        <item x="126"/>
        <item x="436"/>
        <item x="22"/>
        <item x="490"/>
        <item x="261"/>
        <item x="224"/>
        <item x="199"/>
        <item x="470"/>
        <item x="146"/>
        <item x="99"/>
        <item x="324"/>
        <item x="147"/>
        <item x="253"/>
        <item x="518"/>
        <item x="294"/>
        <item x="466"/>
        <item x="194"/>
        <item x="171"/>
        <item x="136"/>
        <item x="92"/>
        <item x="179"/>
        <item x="155"/>
        <item x="210"/>
        <item x="477"/>
        <item x="328"/>
        <item x="512"/>
        <item x="207"/>
        <item x="192"/>
        <item x="318"/>
        <item x="196"/>
        <item x="511"/>
        <item x="48"/>
        <item x="28"/>
        <item x="403"/>
        <item x="335"/>
        <item x="375"/>
        <item x="454"/>
        <item x="514"/>
        <item x="458"/>
        <item x="462"/>
        <item x="71"/>
        <item x="348"/>
        <item x="279"/>
        <item x="463"/>
        <item x="2"/>
        <item x="149"/>
        <item x="338"/>
        <item x="95"/>
        <item x="509"/>
        <item x="538"/>
        <item x="234"/>
        <item x="452"/>
        <item x="387"/>
        <item x="80"/>
        <item x="395"/>
        <item x="443"/>
        <item x="33"/>
        <item x="189"/>
        <item x="437"/>
        <item x="125"/>
        <item x="359"/>
        <item x="532"/>
        <item x="263"/>
        <item x="434"/>
        <item x="287"/>
        <item x="396"/>
        <item x="447"/>
        <item x="200"/>
        <item x="94"/>
        <item x="259"/>
        <item x="151"/>
        <item x="372"/>
        <item x="464"/>
        <item x="536"/>
        <item x="55"/>
        <item x="221"/>
        <item x="123"/>
        <item x="476"/>
        <item x="459"/>
        <item x="467"/>
        <item x="34"/>
        <item x="367"/>
        <item x="374"/>
        <item x="102"/>
        <item x="531"/>
        <item x="219"/>
        <item x="486"/>
        <item x="457"/>
        <item x="347"/>
        <item x="332"/>
        <item x="516"/>
        <item x="143"/>
        <item x="360"/>
        <item x="66"/>
        <item x="9"/>
        <item x="446"/>
        <item x="482"/>
        <item x="79"/>
        <item x="286"/>
        <item x="129"/>
        <item x="208"/>
        <item x="58"/>
        <item x="266"/>
        <item x="542"/>
        <item x="188"/>
        <item x="223"/>
        <item x="52"/>
        <item x="16"/>
        <item x="339"/>
        <item x="451"/>
        <item x="431"/>
        <item x="85"/>
        <item x="513"/>
        <item x="91"/>
        <item x="170"/>
        <item x="217"/>
        <item x="424"/>
        <item x="96"/>
        <item x="141"/>
        <item x="423"/>
        <item x="369"/>
        <item x="433"/>
        <item x="137"/>
        <item x="100"/>
        <item x="419"/>
        <item x="154"/>
        <item x="122"/>
        <item x="128"/>
        <item x="484"/>
        <item x="46"/>
        <item x="336"/>
        <item x="201"/>
        <item x="116"/>
        <item x="23"/>
        <item x="304"/>
        <item x="377"/>
        <item x="530"/>
        <item x="64"/>
        <item x="44"/>
        <item x="378"/>
        <item x="176"/>
        <item x="357"/>
        <item x="289"/>
        <item x="86"/>
        <item x="62"/>
        <item x="240"/>
        <item x="365"/>
        <item x="415"/>
        <item x="450"/>
        <item x="178"/>
        <item x="519"/>
        <item x="479"/>
        <item x="327"/>
        <item x="152"/>
        <item x="310"/>
        <item x="38"/>
        <item x="311"/>
        <item x="132"/>
        <item x="249"/>
        <item x="540"/>
        <item x="356"/>
        <item x="549"/>
        <item x="517"/>
        <item x="526"/>
        <item x="309"/>
        <item x="11"/>
        <item x="43"/>
        <item x="119"/>
        <item x="157"/>
        <item x="206"/>
        <item x="243"/>
        <item x="422"/>
        <item x="127"/>
        <item x="525"/>
        <item x="445"/>
        <item x="402"/>
        <item x="298"/>
        <item x="209"/>
        <item x="539"/>
        <item x="254"/>
        <item t="default"/>
      </items>
    </pivotField>
    <pivotField showAll="0"/>
    <pivotField showAll="0"/>
    <pivotField showAll="0">
      <items count="8">
        <item x="5"/>
        <item x="2"/>
        <item m="1" x="6"/>
        <item x="1"/>
        <item x="4"/>
        <item x="0"/>
        <item x="3"/>
        <item t="default"/>
      </items>
    </pivotField>
    <pivotField showAll="0">
      <items count="13">
        <item x="3"/>
        <item x="8"/>
        <item x="1"/>
        <item x="6"/>
        <item x="4"/>
        <item x="2"/>
        <item x="7"/>
        <item x="11"/>
        <item x="0"/>
        <item x="9"/>
        <item x="10"/>
        <item x="5"/>
        <item t="default"/>
      </items>
    </pivotField>
    <pivotField showAll="0">
      <items count="4">
        <item x="1"/>
        <item x="0"/>
        <item x="2"/>
        <item t="default"/>
      </items>
    </pivotField>
    <pivotField dataField="1" showAll="0"/>
    <pivotField showAll="0"/>
    <pivotField showAll="0"/>
    <pivotField dataField="1" showAll="0"/>
    <pivotField showAll="0">
      <items count="11">
        <item x="5"/>
        <item x="0"/>
        <item x="1"/>
        <item x="3"/>
        <item x="6"/>
        <item x="7"/>
        <item x="9"/>
        <item x="4"/>
        <item x="8"/>
        <item x="2"/>
        <item t="default"/>
      </items>
    </pivotField>
    <pivotField showAll="0">
      <items count="5">
        <item x="0"/>
        <item x="2"/>
        <item x="3"/>
        <item x="1"/>
        <item t="default"/>
      </items>
    </pivotField>
    <pivotField showAll="0"/>
    <pivotField showAll="0" defaultSubtotal="0"/>
    <pivotField showAll="0" defaultSubtotal="0"/>
    <pivotField showAll="0" defaultSubtotal="0">
      <items count="5">
        <item x="0"/>
        <item x="1"/>
        <item x="2"/>
        <item x="3"/>
        <item x="4"/>
      </items>
    </pivotField>
  </pivotFields>
  <rowItems count="1">
    <i/>
  </rowItems>
  <colFields count="1">
    <field x="-2"/>
  </colFields>
  <colItems count="3">
    <i>
      <x/>
    </i>
    <i i="1">
      <x v="1"/>
    </i>
    <i i="2">
      <x v="2"/>
    </i>
  </colItems>
  <dataFields count="3">
    <dataField name="Sum of Total Sales" fld="10" baseField="0" baseItem="0"/>
    <dataField name="Count of Order ID" fld="0" subtotal="count" baseField="0" baseItem="0"/>
    <dataField name="Sum of Quantity" fld="7" baseField="0" baseItem="0"/>
  </dataFields>
  <formats count="9">
    <format dxfId="1442">
      <pivotArea type="all" dataOnly="0" outline="0" fieldPosition="0"/>
    </format>
    <format dxfId="1441">
      <pivotArea outline="0" collapsedLevelsAreSubtotals="1" fieldPosition="0"/>
    </format>
    <format dxfId="1440">
      <pivotArea dataOnly="0" labelOnly="1" outline="0" fieldPosition="0">
        <references count="1">
          <reference field="4294967294" count="3">
            <x v="0"/>
            <x v="1"/>
            <x v="2"/>
          </reference>
        </references>
      </pivotArea>
    </format>
    <format dxfId="1439">
      <pivotArea type="all" dataOnly="0" outline="0" fieldPosition="0"/>
    </format>
    <format dxfId="1438">
      <pivotArea outline="0" collapsedLevelsAreSubtotals="1" fieldPosition="0"/>
    </format>
    <format dxfId="1437">
      <pivotArea dataOnly="0" labelOnly="1" outline="0" fieldPosition="0">
        <references count="1">
          <reference field="4294967294" count="3">
            <x v="0"/>
            <x v="1"/>
            <x v="2"/>
          </reference>
        </references>
      </pivotArea>
    </format>
    <format dxfId="1436">
      <pivotArea type="all" dataOnly="0" outline="0" fieldPosition="0"/>
    </format>
    <format dxfId="1435">
      <pivotArea outline="0" collapsedLevelsAreSubtotals="1" fieldPosition="0"/>
    </format>
    <format dxfId="1434">
      <pivotArea dataOnly="0" labelOnly="1" outline="0" fieldPosition="0">
        <references count="1">
          <reference field="4294967294" count="3">
            <x v="0"/>
            <x v="1"/>
            <x v="2"/>
          </reference>
        </references>
      </pivotArea>
    </format>
  </formats>
  <pivotTableStyleInfo name="PivotStyleLight1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4087DCA-6DD0-4F8E-8457-2896C322D96A}" sourceName="Region">
  <pivotTables>
    <pivotTable tabId="15" name="PivotTable8"/>
    <pivotTable tabId="15" name="PivotTable3"/>
    <pivotTable tabId="15" name="PivotTable4"/>
    <pivotTable tabId="15" name="PivotTable5"/>
    <pivotTable tabId="15" name="PivotTable6"/>
    <pivotTable tabId="15" name="PivotTable7"/>
  </pivotTables>
  <data>
    <tabular pivotCacheId="1566919584">
      <items count="7">
        <i x="5" s="1"/>
        <i x="2" s="1"/>
        <i x="1" s="1"/>
        <i x="4" s="1"/>
        <i x="0" s="1"/>
        <i x="3" s="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7FE65AA-2797-452A-AE5E-4F20C9021E7D}" sourceName="Category">
  <pivotTables>
    <pivotTable tabId="15" name="PivotTable8"/>
    <pivotTable tabId="15" name="PivotTable3"/>
    <pivotTable tabId="15" name="PivotTable4"/>
    <pivotTable tabId="15" name="PivotTable5"/>
    <pivotTable tabId="15" name="PivotTable6"/>
    <pivotTable tabId="15" name="PivotTable7"/>
  </pivotTables>
  <data>
    <tabular pivotCacheId="1566919584">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7D726194-8E08-4DD2-82BD-B2C4BF43466E}" sourceName="Sales person">
  <pivotTables>
    <pivotTable tabId="15" name="PivotTable8"/>
    <pivotTable tabId="15" name="PivotTable3"/>
    <pivotTable tabId="15" name="PivotTable4"/>
    <pivotTable tabId="15" name="PivotTable5"/>
    <pivotTable tabId="15" name="PivotTable6"/>
    <pivotTable tabId="15" name="PivotTable7"/>
  </pivotTables>
  <data>
    <tabular pivotCacheId="1566919584">
      <items count="10">
        <i x="5" s="1"/>
        <i x="0" s="1"/>
        <i x="1" s="1"/>
        <i x="3" s="1"/>
        <i x="6" s="1"/>
        <i x="7" s="1"/>
        <i x="9" s="1"/>
        <i x="4" s="1"/>
        <i x="8"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9F161B7-38A8-417A-82BD-6BCB619EB3C6}" sourceName="Payment Method">
  <pivotTables>
    <pivotTable tabId="15" name="PivotTable8"/>
    <pivotTable tabId="15" name="PivotTable3"/>
    <pivotTable tabId="15" name="PivotTable4"/>
    <pivotTable tabId="15" name="PivotTable5"/>
    <pivotTable tabId="15" name="PivotTable6"/>
    <pivotTable tabId="15" name="PivotTable7"/>
  </pivotTables>
  <data>
    <tabular pivotCacheId="1566919584">
      <items count="4">
        <i x="0" s="1"/>
        <i x="2"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860D9BC-D6B6-4247-B8DD-2F0B5FB82709}" sourceName="Product">
  <pivotTables>
    <pivotTable tabId="15" name="PivotTable8"/>
    <pivotTable tabId="15" name="PivotTable3"/>
    <pivotTable tabId="15" name="PivotTable4"/>
    <pivotTable tabId="15" name="PivotTable5"/>
    <pivotTable tabId="15" name="PivotTable6"/>
    <pivotTable tabId="15" name="PivotTable7"/>
  </pivotTables>
  <data>
    <tabular pivotCacheId="1566919584">
      <items count="12">
        <i x="3" s="1"/>
        <i x="8" s="1"/>
        <i x="1" s="1"/>
        <i x="6" s="1"/>
        <i x="4" s="1"/>
        <i x="2" s="1"/>
        <i x="7" s="1"/>
        <i x="11" s="1"/>
        <i x="0" s="1"/>
        <i x="9" s="1"/>
        <i x="1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D92E260-7595-4E25-93FA-FBBC35B45EE9}" cache="Slicer_Region" caption="Region" columnCount="2" style="SlicerStyleLight2" rowHeight="241300"/>
  <slicer name="Category" xr10:uid="{BAA69AD3-3A20-4B37-B68B-E95DE516524C}" cache="Slicer_Category" caption="Category" style="SlicerStyleLight4" rowHeight="241300"/>
  <slicer name="Sales person" xr10:uid="{BDCAD00D-473D-4C3A-8786-D89B3A036BEC}" cache="Slicer_Sales_person" caption="Sales person" columnCount="4" style="SlicerStyleLight2" rowHeight="241300"/>
  <slicer name="Payment Method" xr10:uid="{BDC3D771-5F62-48B4-9716-4A1C926E3B48}" cache="Slicer_Payment_Method" caption="Payment Method" columnCount="2" style="SlicerStyleLight4" rowHeight="241300"/>
  <slicer name="Product" xr10:uid="{34D87984-F306-4B84-8B1D-FD344AE1DFAE}" cache="Slicer_Product" caption="Product"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BB31E6-BBDB-4F4B-92F9-BA98B342EFE5}" name="SalesData" displayName="SalesData" ref="A1:N1001" totalsRowShown="0" headerRowDxfId="1458" dataDxfId="1457">
  <autoFilter ref="A1:N1001" xr:uid="{89BB31E6-BBDB-4F4B-92F9-BA98B342EFE5}">
    <filterColumn colId="5">
      <filters>
        <filter val="Calculator"/>
        <filter val="Laptop"/>
        <filter val="Office Desk"/>
      </filters>
    </filterColumn>
  </autoFilter>
  <tableColumns count="14">
    <tableColumn id="1" xr3:uid="{9F4AE8BA-E42B-4B91-BEA0-B57E2C6F789E}" name="Order ID" dataDxfId="1456"/>
    <tableColumn id="2" xr3:uid="{42641B1E-CBB8-49A9-9741-E54144DFD62B}" name="Order Date" dataDxfId="1455"/>
    <tableColumn id="3" xr3:uid="{CC7D56F2-EDE3-49AC-9125-FB3BB6C62CF4}" name="Customer Name" dataDxfId="1454"/>
    <tableColumn id="4" xr3:uid="{DBC50859-2362-4E0F-86C0-BF8185DD484C}" name="City" dataDxfId="1453"/>
    <tableColumn id="5" xr3:uid="{4B619D94-045D-4917-9614-A7ED22D7304D}" name="Region" dataDxfId="1452"/>
    <tableColumn id="6" xr3:uid="{B58E188F-250B-47F9-8954-BA6A313DA065}" name="Product" dataDxfId="1451"/>
    <tableColumn id="7" xr3:uid="{5B6D92DF-7F7F-4258-A68C-2A9548A6D960}" name="Category" dataDxfId="1450"/>
    <tableColumn id="8" xr3:uid="{27A49408-0EC6-4521-86FB-DF4355609374}" name="Quantity" dataDxfId="1449"/>
    <tableColumn id="9" xr3:uid="{6EBD2593-8AE2-476F-93DD-4161E6C2C91C}" name="Unit Price" dataDxfId="1448"/>
    <tableColumn id="10" xr3:uid="{204B63C2-1C02-4BD8-8F2C-EA1E269CE7F0}" name="Discount%" dataDxfId="1447"/>
    <tableColumn id="11" xr3:uid="{8178E338-5CCF-45C4-8286-B4AE72ECD46F}" name="Total Sales" dataDxfId="1446"/>
    <tableColumn id="12" xr3:uid="{BD65D5B0-FC5D-4F88-8CEF-5DB4FFBC7905}" name="Sales person" dataDxfId="1445"/>
    <tableColumn id="13" xr3:uid="{4C07F7AA-43AB-480A-A5CE-520201254D17}" name="Payment Method" dataDxfId="1444"/>
    <tableColumn id="16" xr3:uid="{C151BA79-6F0B-4AE3-B5F0-09C015454057}" name="Price Status" dataDxfId="1443">
      <calculatedColumnFormula>IF(I2=_xlfn.XLOOKUP(F2,Lists!$D$2:$D$13,Lists!$E$2:$E$13,"Not Found"),"OK","Check Price")</calculatedColumnFormula>
    </tableColumn>
  </tableColumns>
  <tableStyleInfo name="TableStyleLight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505C3-E89E-4378-865F-C152F8E41156}">
  <sheetPr>
    <tabColor rgb="FF92D050"/>
  </sheetPr>
  <dimension ref="A1:L21"/>
  <sheetViews>
    <sheetView showGridLines="0" workbookViewId="0">
      <selection activeCell="B14" sqref="A1:XFD1048576"/>
    </sheetView>
  </sheetViews>
  <sheetFormatPr defaultRowHeight="14.5" x14ac:dyDescent="0.35"/>
  <cols>
    <col min="1" max="1" width="10" style="4" bestFit="1" customWidth="1"/>
    <col min="2" max="2" width="16.90625" style="4" bestFit="1" customWidth="1"/>
    <col min="3" max="3" width="11.7265625" style="4" bestFit="1" customWidth="1"/>
    <col min="4" max="4" width="14.1796875" style="4" bestFit="1" customWidth="1"/>
    <col min="5" max="5" width="15.6328125" style="4" bestFit="1" customWidth="1"/>
    <col min="6" max="6" width="20" style="4" bestFit="1" customWidth="1"/>
    <col min="7" max="7" width="27.453125" style="4" bestFit="1" customWidth="1"/>
    <col min="8" max="8" width="25.7265625" style="4" bestFit="1" customWidth="1"/>
    <col min="9" max="9" width="14.1796875" style="4" bestFit="1" customWidth="1"/>
    <col min="10" max="10" width="11.7265625" style="4" bestFit="1" customWidth="1"/>
    <col min="11" max="11" width="13.1796875" style="4" bestFit="1" customWidth="1"/>
    <col min="12" max="12" width="10.26953125" style="4" bestFit="1" customWidth="1"/>
    <col min="13" max="16384" width="8.7265625" style="4"/>
  </cols>
  <sheetData>
    <row r="1" spans="1:12" ht="26.5" thickBot="1" x14ac:dyDescent="0.4">
      <c r="A1" s="12" t="s">
        <v>12</v>
      </c>
      <c r="B1" s="13" t="s">
        <v>13</v>
      </c>
      <c r="C1" s="13" t="s">
        <v>3</v>
      </c>
      <c r="D1" s="14" t="s">
        <v>14</v>
      </c>
      <c r="E1" s="15" t="s">
        <v>7</v>
      </c>
      <c r="F1" s="12" t="s">
        <v>15</v>
      </c>
      <c r="G1" s="13" t="s">
        <v>16</v>
      </c>
      <c r="H1" s="12" t="s">
        <v>117</v>
      </c>
      <c r="I1" s="16" t="s">
        <v>118</v>
      </c>
      <c r="J1" s="49"/>
      <c r="K1" s="50"/>
    </row>
    <row r="2" spans="1:12" ht="15" thickBot="1" x14ac:dyDescent="0.4">
      <c r="A2" s="17" t="s">
        <v>17</v>
      </c>
      <c r="B2" s="18" t="s">
        <v>19</v>
      </c>
      <c r="C2" s="19" t="s">
        <v>79</v>
      </c>
      <c r="D2" s="20" t="s">
        <v>20</v>
      </c>
      <c r="E2" s="21">
        <v>85000</v>
      </c>
      <c r="F2" s="22" t="s">
        <v>21</v>
      </c>
      <c r="G2" s="19" t="s">
        <v>22</v>
      </c>
      <c r="H2" s="22" t="s">
        <v>59</v>
      </c>
      <c r="I2" s="23">
        <v>0.2</v>
      </c>
      <c r="J2" s="19" t="s">
        <v>20</v>
      </c>
      <c r="K2" s="18" t="s">
        <v>19</v>
      </c>
    </row>
    <row r="3" spans="1:12" ht="15" thickBot="1" x14ac:dyDescent="0.4">
      <c r="A3" s="22" t="s">
        <v>23</v>
      </c>
      <c r="B3" s="19" t="s">
        <v>24</v>
      </c>
      <c r="C3" s="19" t="s">
        <v>35</v>
      </c>
      <c r="D3" s="20" t="s">
        <v>25</v>
      </c>
      <c r="E3" s="21">
        <v>30000</v>
      </c>
      <c r="F3" s="22" t="s">
        <v>26</v>
      </c>
      <c r="G3" s="19" t="s">
        <v>27</v>
      </c>
      <c r="H3" s="22" t="s">
        <v>60</v>
      </c>
      <c r="I3" s="23">
        <v>0.05</v>
      </c>
      <c r="J3" s="19" t="s">
        <v>25</v>
      </c>
      <c r="K3" s="18" t="s">
        <v>19</v>
      </c>
      <c r="L3" s="4" t="s">
        <v>131</v>
      </c>
    </row>
    <row r="4" spans="1:12" ht="15" thickBot="1" x14ac:dyDescent="0.4">
      <c r="A4" s="22" t="s">
        <v>28</v>
      </c>
      <c r="B4" s="24" t="s">
        <v>30</v>
      </c>
      <c r="C4" s="19" t="s">
        <v>18</v>
      </c>
      <c r="D4" s="20" t="s">
        <v>31</v>
      </c>
      <c r="E4" s="21">
        <v>4000</v>
      </c>
      <c r="F4" s="22" t="s">
        <v>32</v>
      </c>
      <c r="G4" s="19" t="s">
        <v>33</v>
      </c>
      <c r="H4" s="22" t="s">
        <v>61</v>
      </c>
      <c r="I4" s="23">
        <v>0.25</v>
      </c>
      <c r="J4" s="20" t="s">
        <v>31</v>
      </c>
      <c r="K4" s="18" t="s">
        <v>19</v>
      </c>
      <c r="L4" s="25"/>
    </row>
    <row r="5" spans="1:12" ht="15" thickBot="1" x14ac:dyDescent="0.4">
      <c r="A5" s="22" t="s">
        <v>34</v>
      </c>
      <c r="C5" s="19" t="s">
        <v>80</v>
      </c>
      <c r="D5" s="20" t="s">
        <v>36</v>
      </c>
      <c r="E5" s="21">
        <v>2500</v>
      </c>
      <c r="F5" s="22" t="s">
        <v>37</v>
      </c>
      <c r="G5" s="24" t="s">
        <v>38</v>
      </c>
      <c r="H5" s="22" t="s">
        <v>62</v>
      </c>
      <c r="I5" s="23">
        <v>0.1</v>
      </c>
      <c r="J5" s="20" t="s">
        <v>36</v>
      </c>
      <c r="K5" s="18" t="s">
        <v>19</v>
      </c>
    </row>
    <row r="6" spans="1:12" x14ac:dyDescent="0.35">
      <c r="A6" s="22" t="s">
        <v>39</v>
      </c>
      <c r="C6" s="19" t="s">
        <v>119</v>
      </c>
      <c r="D6" s="20" t="s">
        <v>40</v>
      </c>
      <c r="E6" s="21">
        <v>28000</v>
      </c>
      <c r="F6" s="22" t="s">
        <v>41</v>
      </c>
      <c r="G6" s="26"/>
      <c r="H6" s="22" t="s">
        <v>63</v>
      </c>
      <c r="I6" s="23">
        <v>0.25</v>
      </c>
      <c r="J6" s="20" t="s">
        <v>40</v>
      </c>
      <c r="K6" s="18" t="s">
        <v>19</v>
      </c>
    </row>
    <row r="7" spans="1:12" ht="15" thickBot="1" x14ac:dyDescent="0.4">
      <c r="A7" s="22" t="s">
        <v>42</v>
      </c>
      <c r="C7" s="24" t="s">
        <v>29</v>
      </c>
      <c r="D7" s="20" t="s">
        <v>43</v>
      </c>
      <c r="E7" s="21">
        <v>12000</v>
      </c>
      <c r="F7" s="22" t="s">
        <v>44</v>
      </c>
      <c r="H7" s="22" t="s">
        <v>64</v>
      </c>
      <c r="I7" s="23">
        <v>0.15</v>
      </c>
      <c r="J7" s="20" t="s">
        <v>43</v>
      </c>
      <c r="K7" s="19" t="s">
        <v>24</v>
      </c>
    </row>
    <row r="8" spans="1:12" x14ac:dyDescent="0.35">
      <c r="A8" s="22" t="s">
        <v>45</v>
      </c>
      <c r="D8" s="20" t="s">
        <v>46</v>
      </c>
      <c r="E8" s="21">
        <v>22000</v>
      </c>
      <c r="F8" s="22" t="s">
        <v>47</v>
      </c>
      <c r="H8" s="22" t="s">
        <v>65</v>
      </c>
      <c r="I8" s="23">
        <v>0.05</v>
      </c>
      <c r="J8" s="20" t="s">
        <v>46</v>
      </c>
      <c r="K8" s="19" t="s">
        <v>24</v>
      </c>
    </row>
    <row r="9" spans="1:12" ht="15" thickBot="1" x14ac:dyDescent="0.4">
      <c r="A9" s="22" t="s">
        <v>48</v>
      </c>
      <c r="D9" s="20" t="s">
        <v>49</v>
      </c>
      <c r="E9" s="27">
        <v>350</v>
      </c>
      <c r="F9" s="22" t="s">
        <v>50</v>
      </c>
      <c r="H9" s="22" t="s">
        <v>66</v>
      </c>
      <c r="I9" s="23">
        <v>0.05</v>
      </c>
      <c r="J9" s="20" t="s">
        <v>49</v>
      </c>
      <c r="K9" s="24" t="s">
        <v>30</v>
      </c>
    </row>
    <row r="10" spans="1:12" ht="15" thickBot="1" x14ac:dyDescent="0.4">
      <c r="A10" s="22" t="s">
        <v>51</v>
      </c>
      <c r="D10" s="20" t="s">
        <v>52</v>
      </c>
      <c r="E10" s="21">
        <v>1200</v>
      </c>
      <c r="F10" s="22" t="s">
        <v>53</v>
      </c>
      <c r="H10" s="22" t="s">
        <v>67</v>
      </c>
      <c r="I10" s="23">
        <v>0.15</v>
      </c>
      <c r="J10" s="20" t="s">
        <v>52</v>
      </c>
      <c r="K10" s="24" t="s">
        <v>30</v>
      </c>
    </row>
    <row r="11" spans="1:12" ht="15" thickBot="1" x14ac:dyDescent="0.4">
      <c r="A11" s="28" t="s">
        <v>54</v>
      </c>
      <c r="D11" s="20" t="s">
        <v>55</v>
      </c>
      <c r="E11" s="21">
        <v>1500</v>
      </c>
      <c r="F11" s="28" t="s">
        <v>56</v>
      </c>
      <c r="H11" s="22" t="s">
        <v>68</v>
      </c>
      <c r="I11" s="23">
        <v>0.25</v>
      </c>
      <c r="J11" s="20" t="s">
        <v>55</v>
      </c>
      <c r="K11" s="24" t="s">
        <v>30</v>
      </c>
    </row>
    <row r="12" spans="1:12" ht="15" thickBot="1" x14ac:dyDescent="0.4">
      <c r="D12" s="20" t="s">
        <v>57</v>
      </c>
      <c r="E12" s="21">
        <v>2000</v>
      </c>
      <c r="H12" s="22" t="s">
        <v>69</v>
      </c>
      <c r="I12" s="23">
        <v>0.05</v>
      </c>
      <c r="J12" s="20" t="s">
        <v>57</v>
      </c>
      <c r="K12" s="18" t="s">
        <v>19</v>
      </c>
    </row>
    <row r="13" spans="1:12" ht="15" thickBot="1" x14ac:dyDescent="0.4">
      <c r="D13" s="29" t="s">
        <v>58</v>
      </c>
      <c r="E13" s="30">
        <v>5000</v>
      </c>
      <c r="H13" s="22" t="s">
        <v>70</v>
      </c>
      <c r="I13" s="23">
        <v>0.05</v>
      </c>
      <c r="J13" s="29" t="s">
        <v>58</v>
      </c>
      <c r="K13" s="18" t="s">
        <v>19</v>
      </c>
    </row>
    <row r="14" spans="1:12" x14ac:dyDescent="0.35">
      <c r="H14" s="22" t="s">
        <v>71</v>
      </c>
    </row>
    <row r="15" spans="1:12" x14ac:dyDescent="0.35">
      <c r="H15" s="22" t="s">
        <v>72</v>
      </c>
    </row>
    <row r="16" spans="1:12" x14ac:dyDescent="0.35">
      <c r="H16" s="22" t="s">
        <v>73</v>
      </c>
    </row>
    <row r="17" spans="8:8" x14ac:dyDescent="0.35">
      <c r="H17" s="22" t="s">
        <v>74</v>
      </c>
    </row>
    <row r="18" spans="8:8" x14ac:dyDescent="0.35">
      <c r="H18" s="22" t="s">
        <v>75</v>
      </c>
    </row>
    <row r="19" spans="8:8" x14ac:dyDescent="0.35">
      <c r="H19" s="22" t="s">
        <v>76</v>
      </c>
    </row>
    <row r="20" spans="8:8" x14ac:dyDescent="0.35">
      <c r="H20" s="22" t="s">
        <v>77</v>
      </c>
    </row>
    <row r="21" spans="8:8" ht="15" thickBot="1" x14ac:dyDescent="0.4">
      <c r="H21" s="28" t="s">
        <v>78</v>
      </c>
    </row>
  </sheetData>
  <mergeCells count="1">
    <mergeCell ref="J1:K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65D43-5DDF-456A-8639-F2D24B120845}">
  <sheetPr>
    <tabColor theme="4" tint="0.39997558519241921"/>
  </sheetPr>
  <dimension ref="A1:N1001"/>
  <sheetViews>
    <sheetView topLeftCell="A2" workbookViewId="0">
      <selection activeCell="H2" sqref="H2:K2"/>
    </sheetView>
  </sheetViews>
  <sheetFormatPr defaultRowHeight="14.5" x14ac:dyDescent="0.35"/>
  <cols>
    <col min="1" max="1" width="10.26953125" style="4" bestFit="1" customWidth="1"/>
    <col min="2" max="2" width="12.453125" style="4" bestFit="1" customWidth="1"/>
    <col min="3" max="3" width="16.7265625" style="4" bestFit="1" customWidth="1"/>
    <col min="4" max="4" width="10" style="4" bestFit="1" customWidth="1"/>
    <col min="5" max="5" width="10.36328125" style="4" bestFit="1" customWidth="1"/>
    <col min="6" max="6" width="11.7265625" style="4" bestFit="1" customWidth="1"/>
    <col min="7" max="7" width="13.1796875" style="4" bestFit="1" customWidth="1"/>
    <col min="8" max="8" width="10.453125" style="4" bestFit="1" customWidth="1"/>
    <col min="9" max="9" width="11.1796875" style="4" bestFit="1" customWidth="1"/>
    <col min="10" max="10" width="11.90625" style="4" bestFit="1" customWidth="1"/>
    <col min="11" max="11" width="12" style="4" bestFit="1" customWidth="1"/>
    <col min="12" max="12" width="13.54296875" style="4" bestFit="1" customWidth="1"/>
    <col min="13" max="13" width="17.81640625" style="4" bestFit="1" customWidth="1"/>
    <col min="14" max="14" width="12.90625" style="4" bestFit="1" customWidth="1"/>
    <col min="15" max="20" width="10.26953125" style="4" customWidth="1"/>
    <col min="21" max="110" width="11.26953125" style="4" customWidth="1"/>
    <col min="111" max="1010" width="12.26953125" style="4" customWidth="1"/>
    <col min="1011" max="10010" width="13.26953125" style="4" customWidth="1"/>
    <col min="10011" max="16384" width="14.26953125" style="4" customWidth="1"/>
  </cols>
  <sheetData>
    <row r="1" spans="1:14" ht="15" thickBot="1" x14ac:dyDescent="0.4">
      <c r="A1" s="31" t="s">
        <v>0</v>
      </c>
      <c r="B1" s="31" t="s">
        <v>1</v>
      </c>
      <c r="C1" s="31" t="s">
        <v>120</v>
      </c>
      <c r="D1" s="31" t="s">
        <v>2</v>
      </c>
      <c r="E1" s="31" t="s">
        <v>3</v>
      </c>
      <c r="F1" s="31" t="s">
        <v>4</v>
      </c>
      <c r="G1" s="31" t="s">
        <v>5</v>
      </c>
      <c r="H1" s="31" t="s">
        <v>6</v>
      </c>
      <c r="I1" s="31" t="s">
        <v>7</v>
      </c>
      <c r="J1" s="31" t="s">
        <v>8</v>
      </c>
      <c r="K1" s="31" t="s">
        <v>9</v>
      </c>
      <c r="L1" s="31" t="s">
        <v>10</v>
      </c>
      <c r="M1" s="32" t="s">
        <v>11</v>
      </c>
      <c r="N1" s="4" t="s">
        <v>132</v>
      </c>
    </row>
    <row r="2" spans="1:14" ht="15.5" thickTop="1" thickBot="1" x14ac:dyDescent="0.4">
      <c r="A2" s="33" t="str">
        <f>"ORD"&amp;TEXT(ROW()-1,"0000")</f>
        <v>ORD0001</v>
      </c>
      <c r="B2" s="34">
        <v>45407</v>
      </c>
      <c r="C2" s="35" t="s">
        <v>65</v>
      </c>
      <c r="D2" s="35" t="s">
        <v>51</v>
      </c>
      <c r="E2" s="35" t="s">
        <v>119</v>
      </c>
      <c r="F2" s="35" t="s">
        <v>46</v>
      </c>
      <c r="G2" s="35" t="str">
        <f>_xlfn.XLOOKUP(F2,Lists!$J$2:$J$13,Lists!$K$2:$K$13,"Not Found")</f>
        <v>Furniture</v>
      </c>
      <c r="H2" s="35">
        <v>5</v>
      </c>
      <c r="I2" s="35">
        <f>_xlfn.XLOOKUP(F2,Lists!$D$2:$D$13,Lists!$E$2:$E$13,"Not Found")</f>
        <v>22000</v>
      </c>
      <c r="J2" s="46">
        <v>0.25</v>
      </c>
      <c r="K2" s="35">
        <f>H2*I2*(1-J2)</f>
        <v>82500</v>
      </c>
      <c r="L2" s="35" t="s">
        <v>21</v>
      </c>
      <c r="M2" s="35" t="s">
        <v>38</v>
      </c>
      <c r="N2" s="4" t="str">
        <f>IF(I2=_xlfn.XLOOKUP(F2,Lists!$D$2:$D$13,Lists!$E$2:$E$13,"Not Found"),"OK","Check Price")</f>
        <v>OK</v>
      </c>
    </row>
    <row r="3" spans="1:14" ht="15.5" hidden="1" thickTop="1" thickBot="1" x14ac:dyDescent="0.4">
      <c r="A3" s="36" t="str">
        <f t="shared" ref="A3:A66" si="0">"ORD"&amp;TEXT(ROW()-1,"0000")</f>
        <v>ORD0002</v>
      </c>
      <c r="B3" s="34">
        <v>45729</v>
      </c>
      <c r="C3" s="37" t="s">
        <v>68</v>
      </c>
      <c r="D3" s="37" t="s">
        <v>34</v>
      </c>
      <c r="E3" s="37" t="s">
        <v>18</v>
      </c>
      <c r="F3" s="37" t="s">
        <v>31</v>
      </c>
      <c r="G3" s="37" t="s">
        <v>19</v>
      </c>
      <c r="H3" s="37">
        <v>6</v>
      </c>
      <c r="I3" s="37">
        <v>12000</v>
      </c>
      <c r="J3" s="37">
        <v>0.25</v>
      </c>
      <c r="K3" s="37">
        <f t="shared" ref="K3:K66" si="1">H3*I3*(1-J3)</f>
        <v>54000</v>
      </c>
      <c r="L3" s="37" t="s">
        <v>32</v>
      </c>
      <c r="M3" s="37" t="s">
        <v>27</v>
      </c>
      <c r="N3" s="4" t="str">
        <f>IF(I3=_xlfn.XLOOKUP(F3,Lists!$D$2:$D$13,Lists!$E$2:$E$13,"Not Found"),"OK","Check Price")</f>
        <v>Check Price</v>
      </c>
    </row>
    <row r="4" spans="1:14" ht="15.5" hidden="1" thickTop="1" thickBot="1" x14ac:dyDescent="0.4">
      <c r="A4" s="36" t="str">
        <f t="shared" si="0"/>
        <v>ORD0003</v>
      </c>
      <c r="B4" s="34">
        <v>45848</v>
      </c>
      <c r="C4" s="38" t="s">
        <v>70</v>
      </c>
      <c r="D4" s="38" t="s">
        <v>54</v>
      </c>
      <c r="E4" s="38" t="s">
        <v>29</v>
      </c>
      <c r="F4" s="38" t="s">
        <v>36</v>
      </c>
      <c r="G4" s="38" t="s">
        <v>24</v>
      </c>
      <c r="H4" s="38">
        <v>6</v>
      </c>
      <c r="I4" s="38">
        <v>350</v>
      </c>
      <c r="J4" s="38">
        <v>0.05</v>
      </c>
      <c r="K4" s="38">
        <f t="shared" si="1"/>
        <v>1995</v>
      </c>
      <c r="L4" s="38" t="s">
        <v>47</v>
      </c>
      <c r="M4" s="38" t="s">
        <v>22</v>
      </c>
      <c r="N4" s="4" t="str">
        <f>IF(I4=_xlfn.XLOOKUP(F4,Lists!$D$2:$D$13,Lists!$E$2:$E$13,"Not Found"),"OK","Check Price")</f>
        <v>Check Price</v>
      </c>
    </row>
    <row r="5" spans="1:14" ht="15.5" thickTop="1" thickBot="1" x14ac:dyDescent="0.4">
      <c r="A5" s="36" t="str">
        <f t="shared" si="0"/>
        <v>ORD0004</v>
      </c>
      <c r="B5" s="34">
        <v>45400</v>
      </c>
      <c r="C5" s="37" t="s">
        <v>70</v>
      </c>
      <c r="D5" s="37" t="s">
        <v>39</v>
      </c>
      <c r="E5" s="37" t="s">
        <v>119</v>
      </c>
      <c r="F5" s="37" t="s">
        <v>55</v>
      </c>
      <c r="G5" s="35" t="str">
        <f>_xlfn.XLOOKUP(F5,Lists!$J$2:$J$13,Lists!$K$2:$K$13,"Not Found")</f>
        <v>Office Supplies</v>
      </c>
      <c r="H5" s="37">
        <v>4</v>
      </c>
      <c r="I5" s="35">
        <f>_xlfn.XLOOKUP(F5,Lists!$D$2:$D$13,Lists!$E$2:$E$13,"Not Found")</f>
        <v>1500</v>
      </c>
      <c r="J5" s="47">
        <v>0.15</v>
      </c>
      <c r="K5" s="35">
        <f t="shared" si="1"/>
        <v>5100</v>
      </c>
      <c r="L5" s="37" t="s">
        <v>21</v>
      </c>
      <c r="M5" s="37" t="s">
        <v>27</v>
      </c>
      <c r="N5" s="4" t="str">
        <f>IF(I5=_xlfn.XLOOKUP(F5,Lists!$D$2:$D$13,Lists!$E$2:$E$13,"Not Found"),"OK","Check Price")</f>
        <v>OK</v>
      </c>
    </row>
    <row r="6" spans="1:14" ht="15.5" thickTop="1" thickBot="1" x14ac:dyDescent="0.4">
      <c r="A6" s="36" t="str">
        <f t="shared" si="0"/>
        <v>ORD0005</v>
      </c>
      <c r="B6" s="34">
        <v>45506</v>
      </c>
      <c r="C6" s="38" t="s">
        <v>75</v>
      </c>
      <c r="D6" s="38" t="s">
        <v>48</v>
      </c>
      <c r="E6" s="38" t="s">
        <v>35</v>
      </c>
      <c r="F6" s="38" t="s">
        <v>55</v>
      </c>
      <c r="G6" s="35" t="str">
        <f>_xlfn.XLOOKUP(F6,Lists!$J$2:$J$13,Lists!$K$2:$K$13,"Not Found")</f>
        <v>Office Supplies</v>
      </c>
      <c r="H6" s="38">
        <v>2</v>
      </c>
      <c r="I6" s="35">
        <f>_xlfn.XLOOKUP(F6,Lists!$D$2:$D$13,Lists!$E$2:$E$13,"Not Found")</f>
        <v>1500</v>
      </c>
      <c r="J6" s="48">
        <v>0.1</v>
      </c>
      <c r="K6" s="35">
        <f t="shared" si="1"/>
        <v>2700</v>
      </c>
      <c r="L6" s="38" t="s">
        <v>32</v>
      </c>
      <c r="M6" s="38" t="s">
        <v>38</v>
      </c>
      <c r="N6" s="4" t="str">
        <f>IF(I6=_xlfn.XLOOKUP(F6,Lists!$D$2:$D$13,Lists!$E$2:$E$13,"Not Found"),"OK","Check Price")</f>
        <v>OK</v>
      </c>
    </row>
    <row r="7" spans="1:14" ht="15.5" hidden="1" thickTop="1" thickBot="1" x14ac:dyDescent="0.4">
      <c r="A7" s="36" t="str">
        <f t="shared" si="0"/>
        <v>ORD0006</v>
      </c>
      <c r="B7" s="34">
        <v>45477</v>
      </c>
      <c r="C7" s="37" t="s">
        <v>64</v>
      </c>
      <c r="D7" s="37" t="s">
        <v>17</v>
      </c>
      <c r="E7" s="37" t="s">
        <v>35</v>
      </c>
      <c r="F7" s="37" t="s">
        <v>25</v>
      </c>
      <c r="G7" s="37" t="s">
        <v>30</v>
      </c>
      <c r="H7" s="37">
        <v>6</v>
      </c>
      <c r="I7" s="37">
        <v>12000</v>
      </c>
      <c r="J7" s="37">
        <v>0.25</v>
      </c>
      <c r="K7" s="37">
        <f t="shared" si="1"/>
        <v>54000</v>
      </c>
      <c r="L7" s="37" t="s">
        <v>47</v>
      </c>
      <c r="M7" s="37" t="s">
        <v>38</v>
      </c>
      <c r="N7" s="4" t="str">
        <f>IF(I7=_xlfn.XLOOKUP(F7,Lists!$D$2:$D$13,Lists!$E$2:$E$13,"Not Found"),"OK","Check Price")</f>
        <v>Check Price</v>
      </c>
    </row>
    <row r="8" spans="1:14" ht="15.5" hidden="1" thickTop="1" thickBot="1" x14ac:dyDescent="0.4">
      <c r="A8" s="36" t="str">
        <f t="shared" si="0"/>
        <v>ORD0007</v>
      </c>
      <c r="B8" s="34">
        <v>45740</v>
      </c>
      <c r="C8" s="38" t="s">
        <v>78</v>
      </c>
      <c r="D8" s="38" t="s">
        <v>42</v>
      </c>
      <c r="E8" s="38" t="s">
        <v>18</v>
      </c>
      <c r="F8" s="38" t="s">
        <v>57</v>
      </c>
      <c r="G8" s="38" t="s">
        <v>30</v>
      </c>
      <c r="H8" s="38">
        <v>10</v>
      </c>
      <c r="I8" s="38">
        <v>22000</v>
      </c>
      <c r="J8" s="38">
        <v>0.2</v>
      </c>
      <c r="K8" s="38">
        <f t="shared" si="1"/>
        <v>176000</v>
      </c>
      <c r="L8" s="38" t="s">
        <v>44</v>
      </c>
      <c r="M8" s="38" t="s">
        <v>38</v>
      </c>
      <c r="N8" s="4" t="str">
        <f>IF(I8=_xlfn.XLOOKUP(F8,Lists!$D$2:$D$13,Lists!$E$2:$E$13,"Not Found"),"OK","Check Price")</f>
        <v>Check Price</v>
      </c>
    </row>
    <row r="9" spans="1:14" ht="15.5" thickTop="1" thickBot="1" x14ac:dyDescent="0.4">
      <c r="A9" s="36" t="str">
        <f t="shared" si="0"/>
        <v>ORD0008</v>
      </c>
      <c r="B9" s="34">
        <v>45720</v>
      </c>
      <c r="C9" s="37" t="s">
        <v>74</v>
      </c>
      <c r="D9" s="37" t="s">
        <v>34</v>
      </c>
      <c r="E9" s="37" t="s">
        <v>18</v>
      </c>
      <c r="F9" s="37" t="s">
        <v>20</v>
      </c>
      <c r="G9" s="35" t="str">
        <f>_xlfn.XLOOKUP(F9,Lists!$J$2:$J$13,Lists!$K$2:$K$13,"Not Found")</f>
        <v>Electronics</v>
      </c>
      <c r="H9" s="37">
        <v>5</v>
      </c>
      <c r="I9" s="35">
        <f>_xlfn.XLOOKUP(F9,Lists!$D$2:$D$13,Lists!$E$2:$E$13,"Not Found")</f>
        <v>85000</v>
      </c>
      <c r="J9" s="47">
        <v>0.2</v>
      </c>
      <c r="K9" s="35">
        <f t="shared" si="1"/>
        <v>340000</v>
      </c>
      <c r="L9" s="37" t="s">
        <v>21</v>
      </c>
      <c r="M9" s="37" t="s">
        <v>22</v>
      </c>
      <c r="N9" s="4" t="str">
        <f>IF(I9=_xlfn.XLOOKUP(F9,Lists!$D$2:$D$13,Lists!$E$2:$E$13,"Not Found"),"OK","Check Price")</f>
        <v>OK</v>
      </c>
    </row>
    <row r="10" spans="1:14" ht="15.5" thickTop="1" thickBot="1" x14ac:dyDescent="0.4">
      <c r="A10" s="36" t="str">
        <f t="shared" si="0"/>
        <v>ORD0009</v>
      </c>
      <c r="B10" s="34">
        <v>45528</v>
      </c>
      <c r="C10" s="38" t="s">
        <v>73</v>
      </c>
      <c r="D10" s="38" t="s">
        <v>39</v>
      </c>
      <c r="E10" s="38" t="s">
        <v>18</v>
      </c>
      <c r="F10" s="38" t="s">
        <v>55</v>
      </c>
      <c r="G10" s="35" t="str">
        <f>_xlfn.XLOOKUP(F10,Lists!$J$2:$J$13,Lists!$K$2:$K$13,"Not Found")</f>
        <v>Office Supplies</v>
      </c>
      <c r="H10" s="38">
        <v>7</v>
      </c>
      <c r="I10" s="35">
        <f>_xlfn.XLOOKUP(F10,Lists!$D$2:$D$13,Lists!$E$2:$E$13,"Not Found")</f>
        <v>1500</v>
      </c>
      <c r="J10" s="48">
        <v>0.15</v>
      </c>
      <c r="K10" s="35">
        <f t="shared" si="1"/>
        <v>8925</v>
      </c>
      <c r="L10" s="38" t="s">
        <v>50</v>
      </c>
      <c r="M10" s="38" t="s">
        <v>27</v>
      </c>
      <c r="N10" s="4" t="str">
        <f>IF(I10=_xlfn.XLOOKUP(F10,Lists!$D$2:$D$13,Lists!$E$2:$E$13,"Not Found"),"OK","Check Price")</f>
        <v>OK</v>
      </c>
    </row>
    <row r="11" spans="1:14" ht="15.5" hidden="1" thickTop="1" thickBot="1" x14ac:dyDescent="0.4">
      <c r="A11" s="36" t="str">
        <f t="shared" si="0"/>
        <v>ORD0010</v>
      </c>
      <c r="B11" s="34">
        <v>45912</v>
      </c>
      <c r="C11" s="37" t="s">
        <v>70</v>
      </c>
      <c r="D11" s="37" t="s">
        <v>23</v>
      </c>
      <c r="E11" s="37" t="s">
        <v>29</v>
      </c>
      <c r="F11" s="37" t="s">
        <v>25</v>
      </c>
      <c r="G11" s="37" t="s">
        <v>30</v>
      </c>
      <c r="H11" s="37">
        <v>7</v>
      </c>
      <c r="I11" s="37">
        <v>85000</v>
      </c>
      <c r="J11" s="37">
        <v>0.25</v>
      </c>
      <c r="K11" s="37">
        <f t="shared" si="1"/>
        <v>446250</v>
      </c>
      <c r="L11" s="37" t="s">
        <v>32</v>
      </c>
      <c r="M11" s="37" t="s">
        <v>22</v>
      </c>
      <c r="N11" s="4" t="str">
        <f>IF(I11=_xlfn.XLOOKUP(F11,Lists!$D$2:$D$13,Lists!$E$2:$E$13,"Not Found"),"OK","Check Price")</f>
        <v>Check Price</v>
      </c>
    </row>
    <row r="12" spans="1:14" ht="15.5" thickTop="1" thickBot="1" x14ac:dyDescent="0.4">
      <c r="A12" s="36" t="str">
        <f t="shared" si="0"/>
        <v>ORD0011</v>
      </c>
      <c r="B12" s="34">
        <v>45533</v>
      </c>
      <c r="C12" s="38" t="s">
        <v>71</v>
      </c>
      <c r="D12" s="38" t="s">
        <v>45</v>
      </c>
      <c r="E12" s="38" t="s">
        <v>80</v>
      </c>
      <c r="F12" s="38" t="s">
        <v>46</v>
      </c>
      <c r="G12" s="35" t="str">
        <f>_xlfn.XLOOKUP(F12,Lists!$J$2:$J$13,Lists!$K$2:$K$13,"Not Found")</f>
        <v>Furniture</v>
      </c>
      <c r="H12" s="38">
        <v>2</v>
      </c>
      <c r="I12" s="35">
        <f>_xlfn.XLOOKUP(F12,Lists!$D$2:$D$13,Lists!$E$2:$E$13,"Not Found")</f>
        <v>22000</v>
      </c>
      <c r="J12" s="48">
        <v>0.2</v>
      </c>
      <c r="K12" s="35">
        <f>H12*I12*(1-J12)</f>
        <v>35200</v>
      </c>
      <c r="L12" s="38" t="s">
        <v>26</v>
      </c>
      <c r="M12" s="38" t="s">
        <v>38</v>
      </c>
      <c r="N12" s="4" t="str">
        <f>IF(I12=_xlfn.XLOOKUP(F12,Lists!$D$2:$D$13,Lists!$E$2:$E$13,"Not Found"),"OK","Check Price")</f>
        <v>OK</v>
      </c>
    </row>
    <row r="13" spans="1:14" ht="15.5" hidden="1" thickTop="1" thickBot="1" x14ac:dyDescent="0.4">
      <c r="A13" s="36" t="str">
        <f t="shared" si="0"/>
        <v>ORD0012</v>
      </c>
      <c r="B13" s="34">
        <v>46005</v>
      </c>
      <c r="C13" s="37" t="s">
        <v>70</v>
      </c>
      <c r="D13" s="37" t="s">
        <v>34</v>
      </c>
      <c r="E13" s="37" t="s">
        <v>80</v>
      </c>
      <c r="F13" s="37" t="s">
        <v>49</v>
      </c>
      <c r="G13" s="37" t="s">
        <v>30</v>
      </c>
      <c r="H13" s="37">
        <v>1</v>
      </c>
      <c r="I13" s="37">
        <v>350</v>
      </c>
      <c r="J13" s="37">
        <v>0.1</v>
      </c>
      <c r="K13" s="37">
        <f t="shared" si="1"/>
        <v>315</v>
      </c>
      <c r="L13" s="37" t="s">
        <v>37</v>
      </c>
      <c r="M13" s="37" t="s">
        <v>22</v>
      </c>
      <c r="N13" s="4" t="str">
        <f>IF(I13=_xlfn.XLOOKUP(F13,Lists!$D$2:$D$13,Lists!$E$2:$E$13,"Not Found"),"OK","Check Price")</f>
        <v>OK</v>
      </c>
    </row>
    <row r="14" spans="1:14" ht="15.5" hidden="1" thickTop="1" thickBot="1" x14ac:dyDescent="0.4">
      <c r="A14" s="36" t="str">
        <f t="shared" si="0"/>
        <v>ORD0013</v>
      </c>
      <c r="B14" s="34">
        <v>45356</v>
      </c>
      <c r="C14" s="38" t="s">
        <v>64</v>
      </c>
      <c r="D14" s="38" t="s">
        <v>51</v>
      </c>
      <c r="E14" s="38" t="s">
        <v>35</v>
      </c>
      <c r="F14" s="38" t="s">
        <v>57</v>
      </c>
      <c r="G14" s="38" t="s">
        <v>19</v>
      </c>
      <c r="H14" s="38">
        <v>1</v>
      </c>
      <c r="I14" s="38">
        <v>1500</v>
      </c>
      <c r="J14" s="38">
        <v>0.2</v>
      </c>
      <c r="K14" s="38">
        <f t="shared" si="1"/>
        <v>1200</v>
      </c>
      <c r="L14" s="38" t="s">
        <v>21</v>
      </c>
      <c r="M14" s="38" t="s">
        <v>22</v>
      </c>
      <c r="N14" s="4" t="str">
        <f>IF(I14=_xlfn.XLOOKUP(F14,Lists!$D$2:$D$13,Lists!$E$2:$E$13,"Not Found"),"OK","Check Price")</f>
        <v>Check Price</v>
      </c>
    </row>
    <row r="15" spans="1:14" ht="15.5" hidden="1" thickTop="1" thickBot="1" x14ac:dyDescent="0.4">
      <c r="A15" s="36" t="str">
        <f t="shared" si="0"/>
        <v>ORD0014</v>
      </c>
      <c r="B15" s="34">
        <v>45365</v>
      </c>
      <c r="C15" s="37" t="s">
        <v>63</v>
      </c>
      <c r="D15" s="37" t="s">
        <v>48</v>
      </c>
      <c r="E15" s="37" t="s">
        <v>80</v>
      </c>
      <c r="F15" s="37" t="s">
        <v>58</v>
      </c>
      <c r="G15" s="37" t="s">
        <v>30</v>
      </c>
      <c r="H15" s="37">
        <v>5</v>
      </c>
      <c r="I15" s="37">
        <v>85000</v>
      </c>
      <c r="J15" s="37">
        <v>0.2</v>
      </c>
      <c r="K15" s="37">
        <f t="shared" si="1"/>
        <v>340000</v>
      </c>
      <c r="L15" s="37" t="s">
        <v>44</v>
      </c>
      <c r="M15" s="37" t="s">
        <v>27</v>
      </c>
      <c r="N15" s="4" t="str">
        <f>IF(I15=_xlfn.XLOOKUP(F15,Lists!$D$2:$D$13,Lists!$E$2:$E$13,"Not Found"),"OK","Check Price")</f>
        <v>Check Price</v>
      </c>
    </row>
    <row r="16" spans="1:14" ht="15.5" hidden="1" thickTop="1" thickBot="1" x14ac:dyDescent="0.4">
      <c r="A16" s="36" t="str">
        <f t="shared" si="0"/>
        <v>ORD0015</v>
      </c>
      <c r="B16" s="34">
        <v>45779</v>
      </c>
      <c r="C16" s="38" t="s">
        <v>59</v>
      </c>
      <c r="D16" s="38" t="s">
        <v>39</v>
      </c>
      <c r="E16" s="38" t="s">
        <v>80</v>
      </c>
      <c r="F16" s="38" t="s">
        <v>31</v>
      </c>
      <c r="G16" s="38" t="s">
        <v>19</v>
      </c>
      <c r="H16" s="38">
        <v>6</v>
      </c>
      <c r="I16" s="38">
        <v>5000</v>
      </c>
      <c r="J16" s="38">
        <v>0.1</v>
      </c>
      <c r="K16" s="38">
        <f t="shared" si="1"/>
        <v>27000</v>
      </c>
      <c r="L16" s="38" t="s">
        <v>41</v>
      </c>
      <c r="M16" s="38" t="s">
        <v>33</v>
      </c>
      <c r="N16" s="4" t="str">
        <f>IF(I16=_xlfn.XLOOKUP(F16,Lists!$D$2:$D$13,Lists!$E$2:$E$13,"Not Found"),"OK","Check Price")</f>
        <v>Check Price</v>
      </c>
    </row>
    <row r="17" spans="1:14" ht="15.5" thickTop="1" thickBot="1" x14ac:dyDescent="0.4">
      <c r="A17" s="36" t="str">
        <f t="shared" si="0"/>
        <v>ORD0016</v>
      </c>
      <c r="B17" s="34">
        <v>45912</v>
      </c>
      <c r="C17" s="37" t="s">
        <v>68</v>
      </c>
      <c r="D17" s="37" t="s">
        <v>28</v>
      </c>
      <c r="E17" s="37" t="s">
        <v>119</v>
      </c>
      <c r="F17" s="37" t="s">
        <v>46</v>
      </c>
      <c r="G17" s="35" t="str">
        <f>_xlfn.XLOOKUP(F17,Lists!$J$2:$J$13,Lists!$K$2:$K$13,"Not Found")</f>
        <v>Furniture</v>
      </c>
      <c r="H17" s="37">
        <v>6</v>
      </c>
      <c r="I17" s="35">
        <f>_xlfn.XLOOKUP(F17,Lists!$D$2:$D$13,Lists!$E$2:$E$13,"Not Found")</f>
        <v>22000</v>
      </c>
      <c r="J17" s="47">
        <v>0.15</v>
      </c>
      <c r="K17" s="35">
        <f>H17*I17*(1-J17)</f>
        <v>112200</v>
      </c>
      <c r="L17" s="37" t="s">
        <v>32</v>
      </c>
      <c r="M17" s="37" t="s">
        <v>27</v>
      </c>
      <c r="N17" s="4" t="str">
        <f>IF(I17=_xlfn.XLOOKUP(F17,Lists!$D$2:$D$13,Lists!$E$2:$E$13,"Not Found"),"OK","Check Price")</f>
        <v>OK</v>
      </c>
    </row>
    <row r="18" spans="1:14" ht="15.5" hidden="1" thickTop="1" thickBot="1" x14ac:dyDescent="0.4">
      <c r="A18" s="36" t="str">
        <f t="shared" si="0"/>
        <v>ORD0017</v>
      </c>
      <c r="B18" s="34">
        <v>45374</v>
      </c>
      <c r="C18" s="38" t="s">
        <v>62</v>
      </c>
      <c r="D18" s="38" t="s">
        <v>51</v>
      </c>
      <c r="E18" s="38" t="s">
        <v>18</v>
      </c>
      <c r="F18" s="38" t="s">
        <v>31</v>
      </c>
      <c r="G18" s="38" t="s">
        <v>30</v>
      </c>
      <c r="H18" s="38">
        <v>9</v>
      </c>
      <c r="I18" s="38">
        <v>28000</v>
      </c>
      <c r="J18" s="38">
        <v>0.05</v>
      </c>
      <c r="K18" s="38">
        <f t="shared" si="1"/>
        <v>239400</v>
      </c>
      <c r="L18" s="38" t="s">
        <v>53</v>
      </c>
      <c r="M18" s="38" t="s">
        <v>22</v>
      </c>
      <c r="N18" s="4" t="str">
        <f>IF(I18=_xlfn.XLOOKUP(F18,Lists!$D$2:$D$13,Lists!$E$2:$E$13,"Not Found"),"OK","Check Price")</f>
        <v>Check Price</v>
      </c>
    </row>
    <row r="19" spans="1:14" ht="15.5" hidden="1" thickTop="1" thickBot="1" x14ac:dyDescent="0.4">
      <c r="A19" s="36" t="str">
        <f t="shared" si="0"/>
        <v>ORD0018</v>
      </c>
      <c r="B19" s="34">
        <v>45929</v>
      </c>
      <c r="C19" s="37" t="s">
        <v>72</v>
      </c>
      <c r="D19" s="37" t="s">
        <v>28</v>
      </c>
      <c r="E19" s="37" t="s">
        <v>35</v>
      </c>
      <c r="F19" s="37" t="s">
        <v>40</v>
      </c>
      <c r="G19" s="37" t="s">
        <v>19</v>
      </c>
      <c r="H19" s="37">
        <v>8</v>
      </c>
      <c r="I19" s="37">
        <v>28000</v>
      </c>
      <c r="J19" s="37">
        <v>0.25</v>
      </c>
      <c r="K19" s="37">
        <f t="shared" si="1"/>
        <v>168000</v>
      </c>
      <c r="L19" s="37" t="s">
        <v>32</v>
      </c>
      <c r="M19" s="37" t="s">
        <v>33</v>
      </c>
      <c r="N19" s="4" t="str">
        <f>IF(I19=_xlfn.XLOOKUP(F19,Lists!$D$2:$D$13,Lists!$E$2:$E$13,"Not Found"),"OK","Check Price")</f>
        <v>OK</v>
      </c>
    </row>
    <row r="20" spans="1:14" ht="15.5" hidden="1" thickTop="1" thickBot="1" x14ac:dyDescent="0.4">
      <c r="A20" s="36" t="str">
        <f t="shared" si="0"/>
        <v>ORD0019</v>
      </c>
      <c r="B20" s="34">
        <v>45627</v>
      </c>
      <c r="C20" s="38" t="s">
        <v>73</v>
      </c>
      <c r="D20" s="38" t="s">
        <v>34</v>
      </c>
      <c r="E20" s="38" t="s">
        <v>119</v>
      </c>
      <c r="F20" s="38" t="s">
        <v>52</v>
      </c>
      <c r="G20" s="38" t="s">
        <v>30</v>
      </c>
      <c r="H20" s="38">
        <v>2</v>
      </c>
      <c r="I20" s="38">
        <v>4000</v>
      </c>
      <c r="J20" s="38">
        <v>0.2</v>
      </c>
      <c r="K20" s="38">
        <f t="shared" si="1"/>
        <v>6400</v>
      </c>
      <c r="L20" s="38" t="s">
        <v>37</v>
      </c>
      <c r="M20" s="38" t="s">
        <v>38</v>
      </c>
      <c r="N20" s="4" t="str">
        <f>IF(I20=_xlfn.XLOOKUP(F20,Lists!$D$2:$D$13,Lists!$E$2:$E$13,"Not Found"),"OK","Check Price")</f>
        <v>Check Price</v>
      </c>
    </row>
    <row r="21" spans="1:14" ht="15.5" thickTop="1" thickBot="1" x14ac:dyDescent="0.4">
      <c r="A21" s="36" t="str">
        <f t="shared" si="0"/>
        <v>ORD0020</v>
      </c>
      <c r="B21" s="34">
        <v>45401</v>
      </c>
      <c r="C21" s="37" t="s">
        <v>76</v>
      </c>
      <c r="D21" s="37" t="s">
        <v>23</v>
      </c>
      <c r="E21" s="37" t="s">
        <v>119</v>
      </c>
      <c r="F21" s="37" t="s">
        <v>20</v>
      </c>
      <c r="G21" s="35" t="str">
        <f>_xlfn.XLOOKUP(F21,Lists!$J$2:$J$13,Lists!$K$2:$K$13,"Not Found")</f>
        <v>Electronics</v>
      </c>
      <c r="H21" s="37">
        <v>4</v>
      </c>
      <c r="I21" s="35">
        <f>_xlfn.XLOOKUP(F21,Lists!$D$2:$D$13,Lists!$E$2:$E$13,"Not Found")</f>
        <v>85000</v>
      </c>
      <c r="J21" s="47">
        <v>0.2</v>
      </c>
      <c r="K21" s="35">
        <f>H21*I21*(1-J21)</f>
        <v>272000</v>
      </c>
      <c r="L21" s="37" t="s">
        <v>37</v>
      </c>
      <c r="M21" s="37" t="s">
        <v>27</v>
      </c>
      <c r="N21" s="4" t="str">
        <f>IF(I21=_xlfn.XLOOKUP(F21,Lists!$D$2:$D$13,Lists!$E$2:$E$13,"Not Found"),"OK","Check Price")</f>
        <v>OK</v>
      </c>
    </row>
    <row r="22" spans="1:14" ht="15.5" hidden="1" thickTop="1" thickBot="1" x14ac:dyDescent="0.4">
      <c r="A22" s="36" t="str">
        <f t="shared" si="0"/>
        <v>ORD0021</v>
      </c>
      <c r="B22" s="34">
        <v>45463</v>
      </c>
      <c r="C22" s="38" t="s">
        <v>74</v>
      </c>
      <c r="D22" s="38" t="s">
        <v>28</v>
      </c>
      <c r="E22" s="38" t="s">
        <v>29</v>
      </c>
      <c r="F22" s="38" t="s">
        <v>57</v>
      </c>
      <c r="G22" s="38" t="s">
        <v>30</v>
      </c>
      <c r="H22" s="38">
        <v>10</v>
      </c>
      <c r="I22" s="38">
        <v>12000</v>
      </c>
      <c r="J22" s="38">
        <v>0.05</v>
      </c>
      <c r="K22" s="38">
        <f t="shared" si="1"/>
        <v>114000</v>
      </c>
      <c r="L22" s="38" t="s">
        <v>47</v>
      </c>
      <c r="M22" s="38" t="s">
        <v>38</v>
      </c>
      <c r="N22" s="4" t="str">
        <f>IF(I22=_xlfn.XLOOKUP(F22,Lists!$D$2:$D$13,Lists!$E$2:$E$13,"Not Found"),"OK","Check Price")</f>
        <v>Check Price</v>
      </c>
    </row>
    <row r="23" spans="1:14" ht="15.5" thickTop="1" thickBot="1" x14ac:dyDescent="0.4">
      <c r="A23" s="36" t="str">
        <f t="shared" si="0"/>
        <v>ORD0022</v>
      </c>
      <c r="B23" s="34">
        <v>45633</v>
      </c>
      <c r="C23" s="37" t="s">
        <v>60</v>
      </c>
      <c r="D23" s="37" t="s">
        <v>23</v>
      </c>
      <c r="E23" s="37" t="s">
        <v>35</v>
      </c>
      <c r="F23" s="37" t="s">
        <v>46</v>
      </c>
      <c r="G23" s="35" t="str">
        <f>_xlfn.XLOOKUP(F23,Lists!$J$2:$J$13,Lists!$K$2:$K$13,"Not Found")</f>
        <v>Furniture</v>
      </c>
      <c r="H23" s="37">
        <v>5</v>
      </c>
      <c r="I23" s="35">
        <f>_xlfn.XLOOKUP(F23,Lists!$D$2:$D$13,Lists!$E$2:$E$13,"Not Found")</f>
        <v>22000</v>
      </c>
      <c r="J23" s="47">
        <v>0.2</v>
      </c>
      <c r="K23" s="35">
        <f>H23*I23*(1-J23)</f>
        <v>88000</v>
      </c>
      <c r="L23" s="37" t="s">
        <v>50</v>
      </c>
      <c r="M23" s="37" t="s">
        <v>22</v>
      </c>
      <c r="N23" s="4" t="str">
        <f>IF(I23=_xlfn.XLOOKUP(F23,Lists!$D$2:$D$13,Lists!$E$2:$E$13,"Not Found"),"OK","Check Price")</f>
        <v>OK</v>
      </c>
    </row>
    <row r="24" spans="1:14" ht="15.5" hidden="1" thickTop="1" thickBot="1" x14ac:dyDescent="0.4">
      <c r="A24" s="36" t="str">
        <f t="shared" si="0"/>
        <v>ORD0023</v>
      </c>
      <c r="B24" s="34">
        <v>45770</v>
      </c>
      <c r="C24" s="38" t="s">
        <v>71</v>
      </c>
      <c r="D24" s="38" t="s">
        <v>42</v>
      </c>
      <c r="E24" s="38" t="s">
        <v>29</v>
      </c>
      <c r="F24" s="38" t="s">
        <v>52</v>
      </c>
      <c r="G24" s="38" t="s">
        <v>30</v>
      </c>
      <c r="H24" s="38">
        <v>4</v>
      </c>
      <c r="I24" s="38">
        <v>30000</v>
      </c>
      <c r="J24" s="38">
        <v>0.1</v>
      </c>
      <c r="K24" s="38">
        <f t="shared" si="1"/>
        <v>108000</v>
      </c>
      <c r="L24" s="38" t="s">
        <v>44</v>
      </c>
      <c r="M24" s="38" t="s">
        <v>22</v>
      </c>
      <c r="N24" s="4" t="str">
        <f>IF(I24=_xlfn.XLOOKUP(F24,Lists!$D$2:$D$13,Lists!$E$2:$E$13,"Not Found"),"OK","Check Price")</f>
        <v>Check Price</v>
      </c>
    </row>
    <row r="25" spans="1:14" ht="15.5" hidden="1" thickTop="1" thickBot="1" x14ac:dyDescent="0.4">
      <c r="A25" s="36" t="str">
        <f t="shared" si="0"/>
        <v>ORD0024</v>
      </c>
      <c r="B25" s="34">
        <v>45787</v>
      </c>
      <c r="C25" s="37" t="s">
        <v>75</v>
      </c>
      <c r="D25" s="37" t="s">
        <v>17</v>
      </c>
      <c r="E25" s="37" t="s">
        <v>80</v>
      </c>
      <c r="F25" s="37" t="s">
        <v>58</v>
      </c>
      <c r="G25" s="37" t="s">
        <v>24</v>
      </c>
      <c r="H25" s="37">
        <v>7</v>
      </c>
      <c r="I25" s="37">
        <v>1500</v>
      </c>
      <c r="J25" s="37">
        <v>0.2</v>
      </c>
      <c r="K25" s="37">
        <f t="shared" si="1"/>
        <v>8400</v>
      </c>
      <c r="L25" s="37" t="s">
        <v>21</v>
      </c>
      <c r="M25" s="37" t="s">
        <v>22</v>
      </c>
      <c r="N25" s="4" t="str">
        <f>IF(I25=_xlfn.XLOOKUP(F25,Lists!$D$2:$D$13,Lists!$E$2:$E$13,"Not Found"),"OK","Check Price")</f>
        <v>Check Price</v>
      </c>
    </row>
    <row r="26" spans="1:14" ht="15.5" thickTop="1" thickBot="1" x14ac:dyDescent="0.4">
      <c r="A26" s="36" t="str">
        <f t="shared" si="0"/>
        <v>ORD0025</v>
      </c>
      <c r="B26" s="34">
        <v>45965</v>
      </c>
      <c r="C26" s="38" t="s">
        <v>74</v>
      </c>
      <c r="D26" s="38" t="s">
        <v>54</v>
      </c>
      <c r="E26" s="38" t="s">
        <v>119</v>
      </c>
      <c r="F26" s="38" t="s">
        <v>46</v>
      </c>
      <c r="G26" s="35" t="str">
        <f>_xlfn.XLOOKUP(F26,Lists!$J$2:$J$13,Lists!$K$2:$K$13,"Not Found")</f>
        <v>Furniture</v>
      </c>
      <c r="H26" s="38">
        <v>6</v>
      </c>
      <c r="I26" s="35">
        <f>_xlfn.XLOOKUP(F26,Lists!$D$2:$D$13,Lists!$E$2:$E$13,"Not Found")</f>
        <v>22000</v>
      </c>
      <c r="J26" s="48">
        <v>0.25</v>
      </c>
      <c r="K26" s="35">
        <f>H26*I26*(1-J26)</f>
        <v>99000</v>
      </c>
      <c r="L26" s="38" t="s">
        <v>32</v>
      </c>
      <c r="M26" s="38" t="s">
        <v>27</v>
      </c>
      <c r="N26" s="4" t="str">
        <f>IF(I26=_xlfn.XLOOKUP(F26,Lists!$D$2:$D$13,Lists!$E$2:$E$13,"Not Found"),"OK","Check Price")</f>
        <v>OK</v>
      </c>
    </row>
    <row r="27" spans="1:14" ht="15.5" hidden="1" thickTop="1" thickBot="1" x14ac:dyDescent="0.4">
      <c r="A27" s="36" t="str">
        <f t="shared" si="0"/>
        <v>ORD0026</v>
      </c>
      <c r="B27" s="34">
        <v>45517</v>
      </c>
      <c r="C27" s="37" t="s">
        <v>75</v>
      </c>
      <c r="D27" s="37" t="s">
        <v>23</v>
      </c>
      <c r="E27" s="37" t="s">
        <v>119</v>
      </c>
      <c r="F27" s="37" t="s">
        <v>40</v>
      </c>
      <c r="G27" s="37" t="s">
        <v>30</v>
      </c>
      <c r="H27" s="37">
        <v>2</v>
      </c>
      <c r="I27" s="37">
        <v>30000</v>
      </c>
      <c r="J27" s="37">
        <v>0.25</v>
      </c>
      <c r="K27" s="37">
        <f t="shared" si="1"/>
        <v>45000</v>
      </c>
      <c r="L27" s="37" t="s">
        <v>21</v>
      </c>
      <c r="M27" s="37" t="s">
        <v>22</v>
      </c>
      <c r="N27" s="4" t="str">
        <f>IF(I27=_xlfn.XLOOKUP(F27,Lists!$D$2:$D$13,Lists!$E$2:$E$13,"Not Found"),"OK","Check Price")</f>
        <v>Check Price</v>
      </c>
    </row>
    <row r="28" spans="1:14" ht="15.5" hidden="1" thickTop="1" thickBot="1" x14ac:dyDescent="0.4">
      <c r="A28" s="36" t="str">
        <f t="shared" si="0"/>
        <v>ORD0027</v>
      </c>
      <c r="B28" s="34">
        <v>45382</v>
      </c>
      <c r="C28" s="38" t="s">
        <v>70</v>
      </c>
      <c r="D28" s="38" t="s">
        <v>51</v>
      </c>
      <c r="E28" s="38" t="s">
        <v>119</v>
      </c>
      <c r="F28" s="38" t="s">
        <v>52</v>
      </c>
      <c r="G28" s="38" t="s">
        <v>30</v>
      </c>
      <c r="H28" s="38">
        <v>6</v>
      </c>
      <c r="I28" s="38">
        <v>4000</v>
      </c>
      <c r="J28" s="38">
        <v>0.15</v>
      </c>
      <c r="K28" s="38">
        <f t="shared" si="1"/>
        <v>20400</v>
      </c>
      <c r="L28" s="38" t="s">
        <v>41</v>
      </c>
      <c r="M28" s="38" t="s">
        <v>38</v>
      </c>
      <c r="N28" s="4" t="str">
        <f>IF(I28=_xlfn.XLOOKUP(F28,Lists!$D$2:$D$13,Lists!$E$2:$E$13,"Not Found"),"OK","Check Price")</f>
        <v>Check Price</v>
      </c>
    </row>
    <row r="29" spans="1:14" ht="15.5" thickTop="1" thickBot="1" x14ac:dyDescent="0.4">
      <c r="A29" s="36" t="str">
        <f t="shared" si="0"/>
        <v>ORD0028</v>
      </c>
      <c r="B29" s="34">
        <v>45512</v>
      </c>
      <c r="C29" s="37" t="s">
        <v>75</v>
      </c>
      <c r="D29" s="37" t="s">
        <v>48</v>
      </c>
      <c r="E29" s="37" t="s">
        <v>35</v>
      </c>
      <c r="F29" s="37" t="s">
        <v>46</v>
      </c>
      <c r="G29" s="35" t="str">
        <f>_xlfn.XLOOKUP(F29,Lists!$J$2:$J$13,Lists!$K$2:$K$13,"Not Found")</f>
        <v>Furniture</v>
      </c>
      <c r="H29" s="37">
        <v>5</v>
      </c>
      <c r="I29" s="35">
        <f>_xlfn.XLOOKUP(F29,Lists!$D$2:$D$13,Lists!$E$2:$E$13,"Not Found")</f>
        <v>22000</v>
      </c>
      <c r="J29" s="47">
        <v>0.1</v>
      </c>
      <c r="K29" s="35">
        <f>H29*I29*(1-J29)</f>
        <v>99000</v>
      </c>
      <c r="L29" s="37" t="s">
        <v>37</v>
      </c>
      <c r="M29" s="37" t="s">
        <v>22</v>
      </c>
      <c r="N29" s="4" t="str">
        <f>IF(I29=_xlfn.XLOOKUP(F29,Lists!$D$2:$D$13,Lists!$E$2:$E$13,"Not Found"),"OK","Check Price")</f>
        <v>OK</v>
      </c>
    </row>
    <row r="30" spans="1:14" ht="15.5" hidden="1" thickTop="1" thickBot="1" x14ac:dyDescent="0.4">
      <c r="A30" s="36" t="str">
        <f t="shared" si="0"/>
        <v>ORD0029</v>
      </c>
      <c r="B30" s="34">
        <v>45392</v>
      </c>
      <c r="C30" s="38" t="s">
        <v>74</v>
      </c>
      <c r="D30" s="38" t="s">
        <v>48</v>
      </c>
      <c r="E30" s="38" t="s">
        <v>119</v>
      </c>
      <c r="F30" s="38" t="s">
        <v>25</v>
      </c>
      <c r="G30" s="38" t="s">
        <v>30</v>
      </c>
      <c r="H30" s="38">
        <v>1</v>
      </c>
      <c r="I30" s="38">
        <v>5000</v>
      </c>
      <c r="J30" s="38">
        <v>0.25</v>
      </c>
      <c r="K30" s="38">
        <f t="shared" si="1"/>
        <v>3750</v>
      </c>
      <c r="L30" s="38" t="s">
        <v>53</v>
      </c>
      <c r="M30" s="38" t="s">
        <v>22</v>
      </c>
      <c r="N30" s="4" t="str">
        <f>IF(I30=_xlfn.XLOOKUP(F30,Lists!$D$2:$D$13,Lists!$E$2:$E$13,"Not Found"),"OK","Check Price")</f>
        <v>Check Price</v>
      </c>
    </row>
    <row r="31" spans="1:14" ht="15.5" thickTop="1" thickBot="1" x14ac:dyDescent="0.4">
      <c r="A31" s="36" t="str">
        <f t="shared" si="0"/>
        <v>ORD0030</v>
      </c>
      <c r="B31" s="34">
        <v>45830</v>
      </c>
      <c r="C31" s="37" t="s">
        <v>70</v>
      </c>
      <c r="D31" s="37" t="s">
        <v>54</v>
      </c>
      <c r="E31" s="37" t="s">
        <v>119</v>
      </c>
      <c r="F31" s="37" t="s">
        <v>20</v>
      </c>
      <c r="G31" s="35" t="str">
        <f>_xlfn.XLOOKUP(F31,Lists!$J$2:$J$13,Lists!$K$2:$K$13,"Not Found")</f>
        <v>Electronics</v>
      </c>
      <c r="H31" s="37">
        <v>6</v>
      </c>
      <c r="I31" s="35">
        <f>_xlfn.XLOOKUP(F31,Lists!$D$2:$D$13,Lists!$E$2:$E$13,"Not Found")</f>
        <v>85000</v>
      </c>
      <c r="J31" s="47">
        <v>0.1</v>
      </c>
      <c r="K31" s="35">
        <f>H31*I31*(1-J31)</f>
        <v>459000</v>
      </c>
      <c r="L31" s="37" t="s">
        <v>53</v>
      </c>
      <c r="M31" s="37" t="s">
        <v>38</v>
      </c>
      <c r="N31" s="4" t="str">
        <f>IF(I31=_xlfn.XLOOKUP(F31,Lists!$D$2:$D$13,Lists!$E$2:$E$13,"Not Found"),"OK","Check Price")</f>
        <v>OK</v>
      </c>
    </row>
    <row r="32" spans="1:14" ht="15.5" hidden="1" thickTop="1" thickBot="1" x14ac:dyDescent="0.4">
      <c r="A32" s="36" t="str">
        <f t="shared" si="0"/>
        <v>ORD0031</v>
      </c>
      <c r="B32" s="34">
        <v>45331</v>
      </c>
      <c r="C32" s="38" t="s">
        <v>61</v>
      </c>
      <c r="D32" s="38" t="s">
        <v>51</v>
      </c>
      <c r="E32" s="38" t="s">
        <v>80</v>
      </c>
      <c r="F32" s="38" t="s">
        <v>36</v>
      </c>
      <c r="G32" s="38" t="s">
        <v>19</v>
      </c>
      <c r="H32" s="38">
        <v>5</v>
      </c>
      <c r="I32" s="38">
        <v>12000</v>
      </c>
      <c r="J32" s="38">
        <v>0.25</v>
      </c>
      <c r="K32" s="38">
        <f t="shared" si="1"/>
        <v>45000</v>
      </c>
      <c r="L32" s="38" t="s">
        <v>37</v>
      </c>
      <c r="M32" s="38" t="s">
        <v>33</v>
      </c>
      <c r="N32" s="4" t="str">
        <f>IF(I32=_xlfn.XLOOKUP(F32,Lists!$D$2:$D$13,Lists!$E$2:$E$13,"Not Found"),"OK","Check Price")</f>
        <v>Check Price</v>
      </c>
    </row>
    <row r="33" spans="1:14" ht="15.5" hidden="1" thickTop="1" thickBot="1" x14ac:dyDescent="0.4">
      <c r="A33" s="36" t="str">
        <f t="shared" si="0"/>
        <v>ORD0032</v>
      </c>
      <c r="B33" s="34">
        <v>45750</v>
      </c>
      <c r="C33" s="37" t="s">
        <v>60</v>
      </c>
      <c r="D33" s="37" t="s">
        <v>51</v>
      </c>
      <c r="E33" s="37" t="s">
        <v>119</v>
      </c>
      <c r="F33" s="37" t="s">
        <v>36</v>
      </c>
      <c r="G33" s="37" t="s">
        <v>30</v>
      </c>
      <c r="H33" s="37">
        <v>1</v>
      </c>
      <c r="I33" s="37">
        <v>2500</v>
      </c>
      <c r="J33" s="37">
        <v>0.05</v>
      </c>
      <c r="K33" s="37">
        <f t="shared" si="1"/>
        <v>2375</v>
      </c>
      <c r="L33" s="37" t="s">
        <v>50</v>
      </c>
      <c r="M33" s="37" t="s">
        <v>22</v>
      </c>
      <c r="N33" s="4" t="str">
        <f>IF(I33=_xlfn.XLOOKUP(F33,Lists!$D$2:$D$13,Lists!$E$2:$E$13,"Not Found"),"OK","Check Price")</f>
        <v>OK</v>
      </c>
    </row>
    <row r="34" spans="1:14" ht="15.5" hidden="1" thickTop="1" thickBot="1" x14ac:dyDescent="0.4">
      <c r="A34" s="36" t="str">
        <f t="shared" si="0"/>
        <v>ORD0033</v>
      </c>
      <c r="B34" s="34">
        <v>45848</v>
      </c>
      <c r="C34" s="38" t="s">
        <v>75</v>
      </c>
      <c r="D34" s="38" t="s">
        <v>51</v>
      </c>
      <c r="E34" s="38" t="s">
        <v>35</v>
      </c>
      <c r="F34" s="38" t="s">
        <v>40</v>
      </c>
      <c r="G34" s="38" t="s">
        <v>24</v>
      </c>
      <c r="H34" s="38">
        <v>10</v>
      </c>
      <c r="I34" s="38">
        <v>22000</v>
      </c>
      <c r="J34" s="38">
        <v>0.2</v>
      </c>
      <c r="K34" s="38">
        <f t="shared" si="1"/>
        <v>176000</v>
      </c>
      <c r="L34" s="38" t="s">
        <v>44</v>
      </c>
      <c r="M34" s="38" t="s">
        <v>22</v>
      </c>
      <c r="N34" s="4" t="str">
        <f>IF(I34=_xlfn.XLOOKUP(F34,Lists!$D$2:$D$13,Lists!$E$2:$E$13,"Not Found"),"OK","Check Price")</f>
        <v>Check Price</v>
      </c>
    </row>
    <row r="35" spans="1:14" ht="15.5" hidden="1" thickTop="1" thickBot="1" x14ac:dyDescent="0.4">
      <c r="A35" s="36" t="str">
        <f t="shared" si="0"/>
        <v>ORD0034</v>
      </c>
      <c r="B35" s="34">
        <v>45417</v>
      </c>
      <c r="C35" s="37" t="s">
        <v>74</v>
      </c>
      <c r="D35" s="37" t="s">
        <v>39</v>
      </c>
      <c r="E35" s="37" t="s">
        <v>119</v>
      </c>
      <c r="F35" s="37" t="s">
        <v>49</v>
      </c>
      <c r="G35" s="37" t="s">
        <v>24</v>
      </c>
      <c r="H35" s="37">
        <v>4</v>
      </c>
      <c r="I35" s="37">
        <v>2500</v>
      </c>
      <c r="J35" s="37">
        <v>0.1</v>
      </c>
      <c r="K35" s="37">
        <f t="shared" si="1"/>
        <v>9000</v>
      </c>
      <c r="L35" s="37" t="s">
        <v>56</v>
      </c>
      <c r="M35" s="37" t="s">
        <v>22</v>
      </c>
      <c r="N35" s="4" t="str">
        <f>IF(I35=_xlfn.XLOOKUP(F35,Lists!$D$2:$D$13,Lists!$E$2:$E$13,"Not Found"),"OK","Check Price")</f>
        <v>Check Price</v>
      </c>
    </row>
    <row r="36" spans="1:14" ht="15.5" hidden="1" thickTop="1" thickBot="1" x14ac:dyDescent="0.4">
      <c r="A36" s="36" t="str">
        <f t="shared" si="0"/>
        <v>ORD0035</v>
      </c>
      <c r="B36" s="34">
        <v>45538</v>
      </c>
      <c r="C36" s="38" t="s">
        <v>67</v>
      </c>
      <c r="D36" s="38" t="s">
        <v>54</v>
      </c>
      <c r="E36" s="38" t="s">
        <v>29</v>
      </c>
      <c r="F36" s="38" t="s">
        <v>36</v>
      </c>
      <c r="G36" s="38" t="s">
        <v>19</v>
      </c>
      <c r="H36" s="38">
        <v>3</v>
      </c>
      <c r="I36" s="38">
        <v>2500</v>
      </c>
      <c r="J36" s="38">
        <v>0.1</v>
      </c>
      <c r="K36" s="38">
        <f t="shared" si="1"/>
        <v>6750</v>
      </c>
      <c r="L36" s="38" t="s">
        <v>50</v>
      </c>
      <c r="M36" s="38" t="s">
        <v>22</v>
      </c>
      <c r="N36" s="4" t="str">
        <f>IF(I36=_xlfn.XLOOKUP(F36,Lists!$D$2:$D$13,Lists!$E$2:$E$13,"Not Found"),"OK","Check Price")</f>
        <v>OK</v>
      </c>
    </row>
    <row r="37" spans="1:14" ht="15.5" hidden="1" thickTop="1" thickBot="1" x14ac:dyDescent="0.4">
      <c r="A37" s="36" t="str">
        <f t="shared" si="0"/>
        <v>ORD0036</v>
      </c>
      <c r="B37" s="34">
        <v>45863</v>
      </c>
      <c r="C37" s="37" t="s">
        <v>71</v>
      </c>
      <c r="D37" s="37" t="s">
        <v>51</v>
      </c>
      <c r="E37" s="37" t="s">
        <v>79</v>
      </c>
      <c r="F37" s="37" t="s">
        <v>40</v>
      </c>
      <c r="G37" s="37" t="s">
        <v>24</v>
      </c>
      <c r="H37" s="37">
        <v>7</v>
      </c>
      <c r="I37" s="37">
        <v>12000</v>
      </c>
      <c r="J37" s="37">
        <v>0.05</v>
      </c>
      <c r="K37" s="37">
        <f t="shared" si="1"/>
        <v>79800</v>
      </c>
      <c r="L37" s="37" t="s">
        <v>37</v>
      </c>
      <c r="M37" s="37" t="s">
        <v>33</v>
      </c>
      <c r="N37" s="4" t="str">
        <f>IF(I37=_xlfn.XLOOKUP(F37,Lists!$D$2:$D$13,Lists!$E$2:$E$13,"Not Found"),"OK","Check Price")</f>
        <v>Check Price</v>
      </c>
    </row>
    <row r="38" spans="1:14" ht="15.5" thickTop="1" thickBot="1" x14ac:dyDescent="0.4">
      <c r="A38" s="36" t="str">
        <f t="shared" si="0"/>
        <v>ORD0037</v>
      </c>
      <c r="B38" s="34">
        <v>45898</v>
      </c>
      <c r="C38" s="38" t="s">
        <v>59</v>
      </c>
      <c r="D38" s="38" t="s">
        <v>39</v>
      </c>
      <c r="E38" s="38" t="s">
        <v>119</v>
      </c>
      <c r="F38" s="38" t="s">
        <v>20</v>
      </c>
      <c r="G38" s="35" t="str">
        <f>_xlfn.XLOOKUP(F38,Lists!$J$2:$J$13,Lists!$K$2:$K$13,"Not Found")</f>
        <v>Electronics</v>
      </c>
      <c r="H38" s="38">
        <v>8</v>
      </c>
      <c r="I38" s="35">
        <f>_xlfn.XLOOKUP(F38,Lists!$D$2:$D$13,Lists!$E$2:$E$13,"Not Found")</f>
        <v>85000</v>
      </c>
      <c r="J38" s="48">
        <v>0.05</v>
      </c>
      <c r="K38" s="35">
        <f>H38*I38*(1-J38)</f>
        <v>646000</v>
      </c>
      <c r="L38" s="38" t="s">
        <v>26</v>
      </c>
      <c r="M38" s="38" t="s">
        <v>33</v>
      </c>
      <c r="N38" s="4" t="str">
        <f>IF(I38=_xlfn.XLOOKUP(F38,Lists!$D$2:$D$13,Lists!$E$2:$E$13,"Not Found"),"OK","Check Price")</f>
        <v>OK</v>
      </c>
    </row>
    <row r="39" spans="1:14" ht="15.5" hidden="1" thickTop="1" thickBot="1" x14ac:dyDescent="0.4">
      <c r="A39" s="36" t="str">
        <f t="shared" si="0"/>
        <v>ORD0038</v>
      </c>
      <c r="B39" s="34">
        <v>45307</v>
      </c>
      <c r="C39" s="37" t="s">
        <v>66</v>
      </c>
      <c r="D39" s="37" t="s">
        <v>34</v>
      </c>
      <c r="E39" s="37" t="s">
        <v>79</v>
      </c>
      <c r="F39" s="37" t="s">
        <v>49</v>
      </c>
      <c r="G39" s="37" t="s">
        <v>19</v>
      </c>
      <c r="H39" s="37">
        <v>5</v>
      </c>
      <c r="I39" s="37">
        <v>2500</v>
      </c>
      <c r="J39" s="37">
        <v>0.25</v>
      </c>
      <c r="K39" s="37">
        <f t="shared" si="1"/>
        <v>9375</v>
      </c>
      <c r="L39" s="37" t="s">
        <v>21</v>
      </c>
      <c r="M39" s="37" t="s">
        <v>38</v>
      </c>
      <c r="N39" s="4" t="str">
        <f>IF(I39=_xlfn.XLOOKUP(F39,Lists!$D$2:$D$13,Lists!$E$2:$E$13,"Not Found"),"OK","Check Price")</f>
        <v>Check Price</v>
      </c>
    </row>
    <row r="40" spans="1:14" ht="15.5" hidden="1" thickTop="1" thickBot="1" x14ac:dyDescent="0.4">
      <c r="A40" s="36" t="str">
        <f t="shared" si="0"/>
        <v>ORD0039</v>
      </c>
      <c r="B40" s="34">
        <v>45745</v>
      </c>
      <c r="C40" s="38" t="s">
        <v>74</v>
      </c>
      <c r="D40" s="38" t="s">
        <v>42</v>
      </c>
      <c r="E40" s="38" t="s">
        <v>18</v>
      </c>
      <c r="F40" s="38" t="s">
        <v>57</v>
      </c>
      <c r="G40" s="38" t="s">
        <v>19</v>
      </c>
      <c r="H40" s="38">
        <v>7</v>
      </c>
      <c r="I40" s="38">
        <v>30000</v>
      </c>
      <c r="J40" s="38">
        <v>0.25</v>
      </c>
      <c r="K40" s="38">
        <f t="shared" si="1"/>
        <v>157500</v>
      </c>
      <c r="L40" s="38" t="s">
        <v>53</v>
      </c>
      <c r="M40" s="38" t="s">
        <v>33</v>
      </c>
      <c r="N40" s="4" t="str">
        <f>IF(I40=_xlfn.XLOOKUP(F40,Lists!$D$2:$D$13,Lists!$E$2:$E$13,"Not Found"),"OK","Check Price")</f>
        <v>Check Price</v>
      </c>
    </row>
    <row r="41" spans="1:14" ht="15.5" hidden="1" thickTop="1" thickBot="1" x14ac:dyDescent="0.4">
      <c r="A41" s="36" t="str">
        <f t="shared" si="0"/>
        <v>ORD0040</v>
      </c>
      <c r="B41" s="34">
        <v>45504</v>
      </c>
      <c r="C41" s="37" t="s">
        <v>70</v>
      </c>
      <c r="D41" s="37" t="s">
        <v>39</v>
      </c>
      <c r="E41" s="37" t="s">
        <v>18</v>
      </c>
      <c r="F41" s="37" t="s">
        <v>57</v>
      </c>
      <c r="G41" s="37" t="s">
        <v>30</v>
      </c>
      <c r="H41" s="37">
        <v>8</v>
      </c>
      <c r="I41" s="37">
        <v>30000</v>
      </c>
      <c r="J41" s="37">
        <v>0.2</v>
      </c>
      <c r="K41" s="37">
        <f t="shared" si="1"/>
        <v>192000</v>
      </c>
      <c r="L41" s="37" t="s">
        <v>21</v>
      </c>
      <c r="M41" s="37" t="s">
        <v>38</v>
      </c>
      <c r="N41" s="4" t="str">
        <f>IF(I41=_xlfn.XLOOKUP(F41,Lists!$D$2:$D$13,Lists!$E$2:$E$13,"Not Found"),"OK","Check Price")</f>
        <v>Check Price</v>
      </c>
    </row>
    <row r="42" spans="1:14" ht="15.5" hidden="1" thickTop="1" thickBot="1" x14ac:dyDescent="0.4">
      <c r="A42" s="36" t="str">
        <f t="shared" si="0"/>
        <v>ORD0041</v>
      </c>
      <c r="B42" s="34">
        <v>45993</v>
      </c>
      <c r="C42" s="38" t="s">
        <v>64</v>
      </c>
      <c r="D42" s="38" t="s">
        <v>51</v>
      </c>
      <c r="E42" s="38" t="s">
        <v>35</v>
      </c>
      <c r="F42" s="38" t="s">
        <v>43</v>
      </c>
      <c r="G42" s="38" t="s">
        <v>24</v>
      </c>
      <c r="H42" s="38">
        <v>6</v>
      </c>
      <c r="I42" s="38">
        <v>2500</v>
      </c>
      <c r="J42" s="38">
        <v>0.1</v>
      </c>
      <c r="K42" s="38">
        <f t="shared" si="1"/>
        <v>13500</v>
      </c>
      <c r="L42" s="38" t="s">
        <v>53</v>
      </c>
      <c r="M42" s="38" t="s">
        <v>27</v>
      </c>
      <c r="N42" s="4" t="str">
        <f>IF(I42=_xlfn.XLOOKUP(F42,Lists!$D$2:$D$13,Lists!$E$2:$E$13,"Not Found"),"OK","Check Price")</f>
        <v>Check Price</v>
      </c>
    </row>
    <row r="43" spans="1:14" ht="15.5" hidden="1" thickTop="1" thickBot="1" x14ac:dyDescent="0.4">
      <c r="A43" s="36" t="str">
        <f t="shared" si="0"/>
        <v>ORD0042</v>
      </c>
      <c r="B43" s="34">
        <v>45621</v>
      </c>
      <c r="C43" s="37" t="s">
        <v>73</v>
      </c>
      <c r="D43" s="37" t="s">
        <v>34</v>
      </c>
      <c r="E43" s="37" t="s">
        <v>29</v>
      </c>
      <c r="F43" s="37" t="s">
        <v>25</v>
      </c>
      <c r="G43" s="37" t="s">
        <v>19</v>
      </c>
      <c r="H43" s="37">
        <v>9</v>
      </c>
      <c r="I43" s="37">
        <v>28000</v>
      </c>
      <c r="J43" s="37">
        <v>0.1</v>
      </c>
      <c r="K43" s="37">
        <f t="shared" si="1"/>
        <v>226800</v>
      </c>
      <c r="L43" s="37" t="s">
        <v>41</v>
      </c>
      <c r="M43" s="37" t="s">
        <v>27</v>
      </c>
      <c r="N43" s="4" t="str">
        <f>IF(I43=_xlfn.XLOOKUP(F43,Lists!$D$2:$D$13,Lists!$E$2:$E$13,"Not Found"),"OK","Check Price")</f>
        <v>Check Price</v>
      </c>
    </row>
    <row r="44" spans="1:14" ht="15.5" hidden="1" thickTop="1" thickBot="1" x14ac:dyDescent="0.4">
      <c r="A44" s="36" t="str">
        <f t="shared" si="0"/>
        <v>ORD0043</v>
      </c>
      <c r="B44" s="34">
        <v>45298</v>
      </c>
      <c r="C44" s="38" t="s">
        <v>75</v>
      </c>
      <c r="D44" s="38" t="s">
        <v>23</v>
      </c>
      <c r="E44" s="38" t="s">
        <v>80</v>
      </c>
      <c r="F44" s="38" t="s">
        <v>52</v>
      </c>
      <c r="G44" s="38" t="s">
        <v>30</v>
      </c>
      <c r="H44" s="38">
        <v>4</v>
      </c>
      <c r="I44" s="38">
        <v>1200</v>
      </c>
      <c r="J44" s="38">
        <v>0.1</v>
      </c>
      <c r="K44" s="38">
        <f t="shared" si="1"/>
        <v>4320</v>
      </c>
      <c r="L44" s="38" t="s">
        <v>41</v>
      </c>
      <c r="M44" s="38" t="s">
        <v>22</v>
      </c>
      <c r="N44" s="4" t="str">
        <f>IF(I44=_xlfn.XLOOKUP(F44,Lists!$D$2:$D$13,Lists!$E$2:$E$13,"Not Found"),"OK","Check Price")</f>
        <v>OK</v>
      </c>
    </row>
    <row r="45" spans="1:14" ht="15.5" hidden="1" thickTop="1" thickBot="1" x14ac:dyDescent="0.4">
      <c r="A45" s="36" t="str">
        <f t="shared" si="0"/>
        <v>ORD0044</v>
      </c>
      <c r="B45" s="34">
        <v>45335</v>
      </c>
      <c r="C45" s="37" t="s">
        <v>73</v>
      </c>
      <c r="D45" s="37" t="s">
        <v>34</v>
      </c>
      <c r="E45" s="37" t="s">
        <v>80</v>
      </c>
      <c r="F45" s="37" t="s">
        <v>40</v>
      </c>
      <c r="G45" s="37" t="s">
        <v>30</v>
      </c>
      <c r="H45" s="37">
        <v>1</v>
      </c>
      <c r="I45" s="37">
        <v>1500</v>
      </c>
      <c r="J45" s="37">
        <v>0.25</v>
      </c>
      <c r="K45" s="37">
        <f t="shared" si="1"/>
        <v>1125</v>
      </c>
      <c r="L45" s="37" t="s">
        <v>53</v>
      </c>
      <c r="M45" s="37" t="s">
        <v>22</v>
      </c>
      <c r="N45" s="4" t="str">
        <f>IF(I45=_xlfn.XLOOKUP(F45,Lists!$D$2:$D$13,Lists!$E$2:$E$13,"Not Found"),"OK","Check Price")</f>
        <v>Check Price</v>
      </c>
    </row>
    <row r="46" spans="1:14" ht="15.5" thickTop="1" thickBot="1" x14ac:dyDescent="0.4">
      <c r="A46" s="36" t="str">
        <f t="shared" si="0"/>
        <v>ORD0045</v>
      </c>
      <c r="B46" s="34">
        <v>45485</v>
      </c>
      <c r="C46" s="38" t="s">
        <v>76</v>
      </c>
      <c r="D46" s="38" t="s">
        <v>23</v>
      </c>
      <c r="E46" s="38" t="s">
        <v>80</v>
      </c>
      <c r="F46" s="38" t="s">
        <v>20</v>
      </c>
      <c r="G46" s="35" t="str">
        <f>_xlfn.XLOOKUP(F46,Lists!$J$2:$J$13,Lists!$K$2:$K$13,"Not Found")</f>
        <v>Electronics</v>
      </c>
      <c r="H46" s="38">
        <v>3</v>
      </c>
      <c r="I46" s="35">
        <f>_xlfn.XLOOKUP(F46,Lists!$D$2:$D$13,Lists!$E$2:$E$13,"Not Found")</f>
        <v>85000</v>
      </c>
      <c r="J46" s="48">
        <v>0.05</v>
      </c>
      <c r="K46" s="35">
        <f>H46*I46*(1-J46)</f>
        <v>242250</v>
      </c>
      <c r="L46" s="38" t="s">
        <v>47</v>
      </c>
      <c r="M46" s="38" t="s">
        <v>27</v>
      </c>
      <c r="N46" s="4" t="str">
        <f>IF(I46=_xlfn.XLOOKUP(F46,Lists!$D$2:$D$13,Lists!$E$2:$E$13,"Not Found"),"OK","Check Price")</f>
        <v>OK</v>
      </c>
    </row>
    <row r="47" spans="1:14" ht="15.5" hidden="1" thickTop="1" thickBot="1" x14ac:dyDescent="0.4">
      <c r="A47" s="36" t="str">
        <f t="shared" si="0"/>
        <v>ORD0046</v>
      </c>
      <c r="B47" s="34">
        <v>45621</v>
      </c>
      <c r="C47" s="37" t="s">
        <v>63</v>
      </c>
      <c r="D47" s="37" t="s">
        <v>54</v>
      </c>
      <c r="E47" s="37" t="s">
        <v>119</v>
      </c>
      <c r="F47" s="37" t="s">
        <v>25</v>
      </c>
      <c r="G47" s="37" t="s">
        <v>30</v>
      </c>
      <c r="H47" s="37">
        <v>9</v>
      </c>
      <c r="I47" s="37">
        <v>1500</v>
      </c>
      <c r="J47" s="37">
        <v>0.2</v>
      </c>
      <c r="K47" s="37">
        <f t="shared" si="1"/>
        <v>10800</v>
      </c>
      <c r="L47" s="37" t="s">
        <v>47</v>
      </c>
      <c r="M47" s="37" t="s">
        <v>27</v>
      </c>
      <c r="N47" s="4" t="str">
        <f>IF(I47=_xlfn.XLOOKUP(F47,Lists!$D$2:$D$13,Lists!$E$2:$E$13,"Not Found"),"OK","Check Price")</f>
        <v>Check Price</v>
      </c>
    </row>
    <row r="48" spans="1:14" ht="15.5" hidden="1" thickTop="1" thickBot="1" x14ac:dyDescent="0.4">
      <c r="A48" s="36" t="str">
        <f t="shared" si="0"/>
        <v>ORD0047</v>
      </c>
      <c r="B48" s="34">
        <v>46007</v>
      </c>
      <c r="C48" s="38" t="s">
        <v>67</v>
      </c>
      <c r="D48" s="38" t="s">
        <v>34</v>
      </c>
      <c r="E48" s="38" t="s">
        <v>79</v>
      </c>
      <c r="F48" s="38" t="s">
        <v>57</v>
      </c>
      <c r="G48" s="38" t="s">
        <v>19</v>
      </c>
      <c r="H48" s="38">
        <v>1</v>
      </c>
      <c r="I48" s="38">
        <v>85000</v>
      </c>
      <c r="J48" s="38">
        <v>0.1</v>
      </c>
      <c r="K48" s="38">
        <f t="shared" si="1"/>
        <v>76500</v>
      </c>
      <c r="L48" s="38" t="s">
        <v>21</v>
      </c>
      <c r="M48" s="38" t="s">
        <v>22</v>
      </c>
      <c r="N48" s="4" t="str">
        <f>IF(I48=_xlfn.XLOOKUP(F48,Lists!$D$2:$D$13,Lists!$E$2:$E$13,"Not Found"),"OK","Check Price")</f>
        <v>Check Price</v>
      </c>
    </row>
    <row r="49" spans="1:14" ht="15.5" thickTop="1" thickBot="1" x14ac:dyDescent="0.4">
      <c r="A49" s="36" t="str">
        <f t="shared" si="0"/>
        <v>ORD0048</v>
      </c>
      <c r="B49" s="34">
        <v>45970</v>
      </c>
      <c r="C49" s="37" t="s">
        <v>61</v>
      </c>
      <c r="D49" s="37" t="s">
        <v>34</v>
      </c>
      <c r="E49" s="37" t="s">
        <v>18</v>
      </c>
      <c r="F49" s="37" t="s">
        <v>46</v>
      </c>
      <c r="G49" s="35" t="str">
        <f>_xlfn.XLOOKUP(F49,Lists!$J$2:$J$13,Lists!$K$2:$K$13,"Not Found")</f>
        <v>Furniture</v>
      </c>
      <c r="H49" s="37">
        <v>1</v>
      </c>
      <c r="I49" s="35">
        <f>_xlfn.XLOOKUP(F49,Lists!$D$2:$D$13,Lists!$E$2:$E$13,"Not Found")</f>
        <v>22000</v>
      </c>
      <c r="J49" s="47">
        <v>0.05</v>
      </c>
      <c r="K49" s="35">
        <f>H49*I49*(1-J49)</f>
        <v>20900</v>
      </c>
      <c r="L49" s="37" t="s">
        <v>56</v>
      </c>
      <c r="M49" s="37" t="s">
        <v>22</v>
      </c>
      <c r="N49" s="4" t="str">
        <f>IF(I49=_xlfn.XLOOKUP(F49,Lists!$D$2:$D$13,Lists!$E$2:$E$13,"Not Found"),"OK","Check Price")</f>
        <v>OK</v>
      </c>
    </row>
    <row r="50" spans="1:14" ht="15.5" hidden="1" thickTop="1" thickBot="1" x14ac:dyDescent="0.4">
      <c r="A50" s="36" t="str">
        <f t="shared" si="0"/>
        <v>ORD0049</v>
      </c>
      <c r="B50" s="34">
        <v>45544</v>
      </c>
      <c r="C50" s="38" t="s">
        <v>68</v>
      </c>
      <c r="D50" s="38" t="s">
        <v>42</v>
      </c>
      <c r="E50" s="38" t="s">
        <v>29</v>
      </c>
      <c r="F50" s="38" t="s">
        <v>57</v>
      </c>
      <c r="G50" s="38" t="s">
        <v>24</v>
      </c>
      <c r="H50" s="38">
        <v>2</v>
      </c>
      <c r="I50" s="38">
        <v>4000</v>
      </c>
      <c r="J50" s="38">
        <v>0.25</v>
      </c>
      <c r="K50" s="38">
        <f t="shared" si="1"/>
        <v>6000</v>
      </c>
      <c r="L50" s="38" t="s">
        <v>53</v>
      </c>
      <c r="M50" s="38" t="s">
        <v>33</v>
      </c>
      <c r="N50" s="4" t="str">
        <f>IF(I50=_xlfn.XLOOKUP(F50,Lists!$D$2:$D$13,Lists!$E$2:$E$13,"Not Found"),"OK","Check Price")</f>
        <v>Check Price</v>
      </c>
    </row>
    <row r="51" spans="1:14" ht="15.5" hidden="1" thickTop="1" thickBot="1" x14ac:dyDescent="0.4">
      <c r="A51" s="36" t="str">
        <f t="shared" si="0"/>
        <v>ORD0050</v>
      </c>
      <c r="B51" s="34">
        <v>45961</v>
      </c>
      <c r="C51" s="37" t="s">
        <v>68</v>
      </c>
      <c r="D51" s="37" t="s">
        <v>28</v>
      </c>
      <c r="E51" s="37" t="s">
        <v>35</v>
      </c>
      <c r="F51" s="37" t="s">
        <v>36</v>
      </c>
      <c r="G51" s="37" t="s">
        <v>19</v>
      </c>
      <c r="H51" s="37">
        <v>4</v>
      </c>
      <c r="I51" s="37">
        <v>28000</v>
      </c>
      <c r="J51" s="37">
        <v>0.25</v>
      </c>
      <c r="K51" s="37">
        <f t="shared" si="1"/>
        <v>84000</v>
      </c>
      <c r="L51" s="37" t="s">
        <v>44</v>
      </c>
      <c r="M51" s="37" t="s">
        <v>22</v>
      </c>
      <c r="N51" s="4" t="str">
        <f>IF(I51=_xlfn.XLOOKUP(F51,Lists!$D$2:$D$13,Lists!$E$2:$E$13,"Not Found"),"OK","Check Price")</f>
        <v>Check Price</v>
      </c>
    </row>
    <row r="52" spans="1:14" ht="15.5" thickTop="1" thickBot="1" x14ac:dyDescent="0.4">
      <c r="A52" s="36" t="str">
        <f t="shared" si="0"/>
        <v>ORD0051</v>
      </c>
      <c r="B52" s="34">
        <v>45568</v>
      </c>
      <c r="C52" s="38" t="s">
        <v>62</v>
      </c>
      <c r="D52" s="38" t="s">
        <v>45</v>
      </c>
      <c r="E52" s="38" t="s">
        <v>119</v>
      </c>
      <c r="F52" s="38" t="s">
        <v>55</v>
      </c>
      <c r="G52" s="35" t="str">
        <f>_xlfn.XLOOKUP(F52,Lists!$J$2:$J$13,Lists!$K$2:$K$13,"Not Found")</f>
        <v>Office Supplies</v>
      </c>
      <c r="H52" s="38">
        <v>1</v>
      </c>
      <c r="I52" s="35">
        <f>_xlfn.XLOOKUP(F52,Lists!$D$2:$D$13,Lists!$E$2:$E$13,"Not Found")</f>
        <v>1500</v>
      </c>
      <c r="J52" s="48">
        <v>0.2</v>
      </c>
      <c r="K52" s="35">
        <f>H52*I52*(1-J52)</f>
        <v>1200</v>
      </c>
      <c r="L52" s="38" t="s">
        <v>47</v>
      </c>
      <c r="M52" s="38" t="s">
        <v>22</v>
      </c>
      <c r="N52" s="4" t="str">
        <f>IF(I52=_xlfn.XLOOKUP(F52,Lists!$D$2:$D$13,Lists!$E$2:$E$13,"Not Found"),"OK","Check Price")</f>
        <v>OK</v>
      </c>
    </row>
    <row r="53" spans="1:14" ht="15.5" hidden="1" thickTop="1" thickBot="1" x14ac:dyDescent="0.4">
      <c r="A53" s="36" t="str">
        <f t="shared" si="0"/>
        <v>ORD0052</v>
      </c>
      <c r="B53" s="34">
        <v>45828</v>
      </c>
      <c r="C53" s="37" t="s">
        <v>62</v>
      </c>
      <c r="D53" s="37" t="s">
        <v>39</v>
      </c>
      <c r="E53" s="37" t="s">
        <v>35</v>
      </c>
      <c r="F53" s="37" t="s">
        <v>43</v>
      </c>
      <c r="G53" s="37" t="s">
        <v>30</v>
      </c>
      <c r="H53" s="37">
        <v>5</v>
      </c>
      <c r="I53" s="37">
        <v>2500</v>
      </c>
      <c r="J53" s="37">
        <v>0.15</v>
      </c>
      <c r="K53" s="37">
        <f t="shared" si="1"/>
        <v>10625</v>
      </c>
      <c r="L53" s="37" t="s">
        <v>44</v>
      </c>
      <c r="M53" s="37" t="s">
        <v>38</v>
      </c>
      <c r="N53" s="4" t="str">
        <f>IF(I53=_xlfn.XLOOKUP(F53,Lists!$D$2:$D$13,Lists!$E$2:$E$13,"Not Found"),"OK","Check Price")</f>
        <v>Check Price</v>
      </c>
    </row>
    <row r="54" spans="1:14" ht="15.5" hidden="1" thickTop="1" thickBot="1" x14ac:dyDescent="0.4">
      <c r="A54" s="36" t="str">
        <f t="shared" si="0"/>
        <v>ORD0053</v>
      </c>
      <c r="B54" s="34">
        <v>45300</v>
      </c>
      <c r="C54" s="38" t="s">
        <v>78</v>
      </c>
      <c r="D54" s="38" t="s">
        <v>51</v>
      </c>
      <c r="E54" s="38" t="s">
        <v>29</v>
      </c>
      <c r="F54" s="38" t="s">
        <v>40</v>
      </c>
      <c r="G54" s="38" t="s">
        <v>24</v>
      </c>
      <c r="H54" s="38">
        <v>5</v>
      </c>
      <c r="I54" s="38">
        <v>5000</v>
      </c>
      <c r="J54" s="38">
        <v>0.05</v>
      </c>
      <c r="K54" s="38">
        <f t="shared" si="1"/>
        <v>23750</v>
      </c>
      <c r="L54" s="38" t="s">
        <v>53</v>
      </c>
      <c r="M54" s="38" t="s">
        <v>27</v>
      </c>
      <c r="N54" s="4" t="str">
        <f>IF(I54=_xlfn.XLOOKUP(F54,Lists!$D$2:$D$13,Lists!$E$2:$E$13,"Not Found"),"OK","Check Price")</f>
        <v>Check Price</v>
      </c>
    </row>
    <row r="55" spans="1:14" ht="15.5" hidden="1" thickTop="1" thickBot="1" x14ac:dyDescent="0.4">
      <c r="A55" s="36" t="str">
        <f t="shared" si="0"/>
        <v>ORD0054</v>
      </c>
      <c r="B55" s="34">
        <v>45702</v>
      </c>
      <c r="C55" s="37" t="s">
        <v>71</v>
      </c>
      <c r="D55" s="37" t="s">
        <v>34</v>
      </c>
      <c r="E55" s="37" t="s">
        <v>35</v>
      </c>
      <c r="F55" s="37" t="s">
        <v>25</v>
      </c>
      <c r="G55" s="37" t="s">
        <v>19</v>
      </c>
      <c r="H55" s="37">
        <v>4</v>
      </c>
      <c r="I55" s="37">
        <v>85000</v>
      </c>
      <c r="J55" s="37">
        <v>0.25</v>
      </c>
      <c r="K55" s="37">
        <f t="shared" si="1"/>
        <v>255000</v>
      </c>
      <c r="L55" s="37" t="s">
        <v>32</v>
      </c>
      <c r="M55" s="37" t="s">
        <v>38</v>
      </c>
      <c r="N55" s="4" t="str">
        <f>IF(I55=_xlfn.XLOOKUP(F55,Lists!$D$2:$D$13,Lists!$E$2:$E$13,"Not Found"),"OK","Check Price")</f>
        <v>Check Price</v>
      </c>
    </row>
    <row r="56" spans="1:14" ht="15.5" thickTop="1" thickBot="1" x14ac:dyDescent="0.4">
      <c r="A56" s="36" t="str">
        <f t="shared" si="0"/>
        <v>ORD0055</v>
      </c>
      <c r="B56" s="34">
        <v>45323</v>
      </c>
      <c r="C56" s="38" t="s">
        <v>59</v>
      </c>
      <c r="D56" s="38" t="s">
        <v>28</v>
      </c>
      <c r="E56" s="38" t="s">
        <v>79</v>
      </c>
      <c r="F56" s="38" t="s">
        <v>55</v>
      </c>
      <c r="G56" s="35" t="str">
        <f>_xlfn.XLOOKUP(F56,Lists!$J$2:$J$13,Lists!$K$2:$K$13,"Not Found")</f>
        <v>Office Supplies</v>
      </c>
      <c r="H56" s="38">
        <v>3</v>
      </c>
      <c r="I56" s="35">
        <f>_xlfn.XLOOKUP(F56,Lists!$D$2:$D$13,Lists!$E$2:$E$13,"Not Found")</f>
        <v>1500</v>
      </c>
      <c r="J56" s="48">
        <v>0.2</v>
      </c>
      <c r="K56" s="35">
        <f t="shared" si="1"/>
        <v>3600</v>
      </c>
      <c r="L56" s="38" t="s">
        <v>56</v>
      </c>
      <c r="M56" s="38" t="s">
        <v>33</v>
      </c>
      <c r="N56" s="4" t="str">
        <f>IF(I56=_xlfn.XLOOKUP(F56,Lists!$D$2:$D$13,Lists!$E$2:$E$13,"Not Found"),"OK","Check Price")</f>
        <v>OK</v>
      </c>
    </row>
    <row r="57" spans="1:14" ht="15.5" thickTop="1" thickBot="1" x14ac:dyDescent="0.4">
      <c r="A57" s="36" t="str">
        <f t="shared" si="0"/>
        <v>ORD0056</v>
      </c>
      <c r="B57" s="34">
        <v>45927</v>
      </c>
      <c r="C57" s="37" t="s">
        <v>64</v>
      </c>
      <c r="D57" s="37" t="s">
        <v>54</v>
      </c>
      <c r="E57" s="37" t="s">
        <v>80</v>
      </c>
      <c r="F57" s="37" t="s">
        <v>55</v>
      </c>
      <c r="G57" s="35" t="str">
        <f>_xlfn.XLOOKUP(F57,Lists!$J$2:$J$13,Lists!$K$2:$K$13,"Not Found")</f>
        <v>Office Supplies</v>
      </c>
      <c r="H57" s="37">
        <v>2</v>
      </c>
      <c r="I57" s="35">
        <f>_xlfn.XLOOKUP(F57,Lists!$D$2:$D$13,Lists!$E$2:$E$13,"Not Found")</f>
        <v>1500</v>
      </c>
      <c r="J57" s="47">
        <v>0.05</v>
      </c>
      <c r="K57" s="35">
        <f t="shared" si="1"/>
        <v>2850</v>
      </c>
      <c r="L57" s="37" t="s">
        <v>41</v>
      </c>
      <c r="M57" s="37" t="s">
        <v>33</v>
      </c>
      <c r="N57" s="4" t="str">
        <f>IF(I57=_xlfn.XLOOKUP(F57,Lists!$D$2:$D$13,Lists!$E$2:$E$13,"Not Found"),"OK","Check Price")</f>
        <v>OK</v>
      </c>
    </row>
    <row r="58" spans="1:14" ht="15.5" thickTop="1" thickBot="1" x14ac:dyDescent="0.4">
      <c r="A58" s="36" t="str">
        <f t="shared" si="0"/>
        <v>ORD0057</v>
      </c>
      <c r="B58" s="34">
        <v>45787</v>
      </c>
      <c r="C58" s="38" t="s">
        <v>62</v>
      </c>
      <c r="D58" s="38" t="s">
        <v>23</v>
      </c>
      <c r="E58" s="38" t="s">
        <v>80</v>
      </c>
      <c r="F58" s="38" t="s">
        <v>46</v>
      </c>
      <c r="G58" s="35" t="str">
        <f>_xlfn.XLOOKUP(F58,Lists!$J$2:$J$13,Lists!$K$2:$K$13,"Not Found")</f>
        <v>Furniture</v>
      </c>
      <c r="H58" s="38">
        <v>10</v>
      </c>
      <c r="I58" s="35">
        <f>_xlfn.XLOOKUP(F58,Lists!$D$2:$D$13,Lists!$E$2:$E$13,"Not Found")</f>
        <v>22000</v>
      </c>
      <c r="J58" s="48">
        <v>0.1</v>
      </c>
      <c r="K58" s="35">
        <f t="shared" si="1"/>
        <v>198000</v>
      </c>
      <c r="L58" s="38" t="s">
        <v>53</v>
      </c>
      <c r="M58" s="38" t="s">
        <v>33</v>
      </c>
      <c r="N58" s="4" t="str">
        <f>IF(I58=_xlfn.XLOOKUP(F58,Lists!$D$2:$D$13,Lists!$E$2:$E$13,"Not Found"),"OK","Check Price")</f>
        <v>OK</v>
      </c>
    </row>
    <row r="59" spans="1:14" ht="15.5" hidden="1" thickTop="1" thickBot="1" x14ac:dyDescent="0.4">
      <c r="A59" s="36" t="str">
        <f t="shared" si="0"/>
        <v>ORD0058</v>
      </c>
      <c r="B59" s="34">
        <v>45298</v>
      </c>
      <c r="C59" s="37" t="s">
        <v>75</v>
      </c>
      <c r="D59" s="37" t="s">
        <v>42</v>
      </c>
      <c r="E59" s="37" t="s">
        <v>80</v>
      </c>
      <c r="F59" s="37" t="s">
        <v>52</v>
      </c>
      <c r="G59" s="37" t="s">
        <v>30</v>
      </c>
      <c r="H59" s="37">
        <v>10</v>
      </c>
      <c r="I59" s="37">
        <v>30000</v>
      </c>
      <c r="J59" s="37">
        <v>0.25</v>
      </c>
      <c r="K59" s="37">
        <f t="shared" si="1"/>
        <v>225000</v>
      </c>
      <c r="L59" s="37" t="s">
        <v>56</v>
      </c>
      <c r="M59" s="37" t="s">
        <v>22</v>
      </c>
      <c r="N59" s="4" t="str">
        <f>IF(I59=_xlfn.XLOOKUP(F59,Lists!$D$2:$D$13,Lists!$E$2:$E$13,"Not Found"),"OK","Check Price")</f>
        <v>Check Price</v>
      </c>
    </row>
    <row r="60" spans="1:14" ht="15.5" hidden="1" thickTop="1" thickBot="1" x14ac:dyDescent="0.4">
      <c r="A60" s="36" t="str">
        <f t="shared" si="0"/>
        <v>ORD0059</v>
      </c>
      <c r="B60" s="34">
        <v>45420</v>
      </c>
      <c r="C60" s="38" t="s">
        <v>76</v>
      </c>
      <c r="D60" s="38" t="s">
        <v>51</v>
      </c>
      <c r="E60" s="38" t="s">
        <v>79</v>
      </c>
      <c r="F60" s="38" t="s">
        <v>52</v>
      </c>
      <c r="G60" s="38" t="s">
        <v>19</v>
      </c>
      <c r="H60" s="38">
        <v>1</v>
      </c>
      <c r="I60" s="38">
        <v>1200</v>
      </c>
      <c r="J60" s="38">
        <v>0.15</v>
      </c>
      <c r="K60" s="38">
        <f t="shared" si="1"/>
        <v>1020</v>
      </c>
      <c r="L60" s="38" t="s">
        <v>47</v>
      </c>
      <c r="M60" s="38" t="s">
        <v>27</v>
      </c>
      <c r="N60" s="4" t="str">
        <f>IF(I60=_xlfn.XLOOKUP(F60,Lists!$D$2:$D$13,Lists!$E$2:$E$13,"Not Found"),"OK","Check Price")</f>
        <v>OK</v>
      </c>
    </row>
    <row r="61" spans="1:14" ht="15.5" thickTop="1" thickBot="1" x14ac:dyDescent="0.4">
      <c r="A61" s="36" t="str">
        <f t="shared" si="0"/>
        <v>ORD0060</v>
      </c>
      <c r="B61" s="34">
        <v>45762</v>
      </c>
      <c r="C61" s="37" t="s">
        <v>69</v>
      </c>
      <c r="D61" s="37" t="s">
        <v>48</v>
      </c>
      <c r="E61" s="37" t="s">
        <v>18</v>
      </c>
      <c r="F61" s="37" t="s">
        <v>55</v>
      </c>
      <c r="G61" s="35" t="str">
        <f>_xlfn.XLOOKUP(F61,Lists!$J$2:$J$13,Lists!$K$2:$K$13,"Not Found")</f>
        <v>Office Supplies</v>
      </c>
      <c r="H61" s="37">
        <v>7</v>
      </c>
      <c r="I61" s="35">
        <f>_xlfn.XLOOKUP(F61,Lists!$D$2:$D$13,Lists!$E$2:$E$13,"Not Found")</f>
        <v>1500</v>
      </c>
      <c r="J61" s="47">
        <v>0.15</v>
      </c>
      <c r="K61" s="35">
        <f>H61*I61*(1-J61)</f>
        <v>8925</v>
      </c>
      <c r="L61" s="37" t="s">
        <v>44</v>
      </c>
      <c r="M61" s="37" t="s">
        <v>38</v>
      </c>
      <c r="N61" s="4" t="str">
        <f>IF(I61=_xlfn.XLOOKUP(F61,Lists!$D$2:$D$13,Lists!$E$2:$E$13,"Not Found"),"OK","Check Price")</f>
        <v>OK</v>
      </c>
    </row>
    <row r="62" spans="1:14" ht="15.5" hidden="1" thickTop="1" thickBot="1" x14ac:dyDescent="0.4">
      <c r="A62" s="36" t="str">
        <f t="shared" si="0"/>
        <v>ORD0061</v>
      </c>
      <c r="B62" s="34">
        <v>45890</v>
      </c>
      <c r="C62" s="38" t="s">
        <v>76</v>
      </c>
      <c r="D62" s="38" t="s">
        <v>17</v>
      </c>
      <c r="E62" s="38" t="s">
        <v>119</v>
      </c>
      <c r="F62" s="38" t="s">
        <v>36</v>
      </c>
      <c r="G62" s="38" t="s">
        <v>24</v>
      </c>
      <c r="H62" s="38">
        <v>7</v>
      </c>
      <c r="I62" s="38">
        <v>350</v>
      </c>
      <c r="J62" s="38">
        <v>0.1</v>
      </c>
      <c r="K62" s="38">
        <f t="shared" si="1"/>
        <v>2205</v>
      </c>
      <c r="L62" s="38" t="s">
        <v>44</v>
      </c>
      <c r="M62" s="38" t="s">
        <v>22</v>
      </c>
      <c r="N62" s="4" t="str">
        <f>IF(I62=_xlfn.XLOOKUP(F62,Lists!$D$2:$D$13,Lists!$E$2:$E$13,"Not Found"),"OK","Check Price")</f>
        <v>Check Price</v>
      </c>
    </row>
    <row r="63" spans="1:14" ht="15.5" hidden="1" thickTop="1" thickBot="1" x14ac:dyDescent="0.4">
      <c r="A63" s="36" t="str">
        <f t="shared" si="0"/>
        <v>ORD0062</v>
      </c>
      <c r="B63" s="34">
        <v>45755</v>
      </c>
      <c r="C63" s="37" t="s">
        <v>60</v>
      </c>
      <c r="D63" s="37" t="s">
        <v>28</v>
      </c>
      <c r="E63" s="37" t="s">
        <v>119</v>
      </c>
      <c r="F63" s="37" t="s">
        <v>57</v>
      </c>
      <c r="G63" s="37" t="s">
        <v>19</v>
      </c>
      <c r="H63" s="37">
        <v>1</v>
      </c>
      <c r="I63" s="37">
        <v>4000</v>
      </c>
      <c r="J63" s="37">
        <v>0.15</v>
      </c>
      <c r="K63" s="37">
        <f t="shared" si="1"/>
        <v>3400</v>
      </c>
      <c r="L63" s="37" t="s">
        <v>44</v>
      </c>
      <c r="M63" s="37" t="s">
        <v>33</v>
      </c>
      <c r="N63" s="4" t="str">
        <f>IF(I63=_xlfn.XLOOKUP(F63,Lists!$D$2:$D$13,Lists!$E$2:$E$13,"Not Found"),"OK","Check Price")</f>
        <v>Check Price</v>
      </c>
    </row>
    <row r="64" spans="1:14" ht="15.5" hidden="1" thickTop="1" thickBot="1" x14ac:dyDescent="0.4">
      <c r="A64" s="36" t="str">
        <f t="shared" si="0"/>
        <v>ORD0063</v>
      </c>
      <c r="B64" s="34">
        <v>45656</v>
      </c>
      <c r="C64" s="38" t="s">
        <v>63</v>
      </c>
      <c r="D64" s="38" t="s">
        <v>39</v>
      </c>
      <c r="E64" s="38" t="s">
        <v>119</v>
      </c>
      <c r="F64" s="38" t="s">
        <v>40</v>
      </c>
      <c r="G64" s="38" t="s">
        <v>30</v>
      </c>
      <c r="H64" s="38">
        <v>6</v>
      </c>
      <c r="I64" s="38">
        <v>30000</v>
      </c>
      <c r="J64" s="38">
        <v>0.15</v>
      </c>
      <c r="K64" s="38">
        <f t="shared" si="1"/>
        <v>153000</v>
      </c>
      <c r="L64" s="38" t="s">
        <v>56</v>
      </c>
      <c r="M64" s="38" t="s">
        <v>38</v>
      </c>
      <c r="N64" s="4" t="str">
        <f>IF(I64=_xlfn.XLOOKUP(F64,Lists!$D$2:$D$13,Lists!$E$2:$E$13,"Not Found"),"OK","Check Price")</f>
        <v>Check Price</v>
      </c>
    </row>
    <row r="65" spans="1:14" ht="15.5" thickTop="1" thickBot="1" x14ac:dyDescent="0.4">
      <c r="A65" s="36" t="str">
        <f t="shared" si="0"/>
        <v>ORD0064</v>
      </c>
      <c r="B65" s="34">
        <v>45920</v>
      </c>
      <c r="C65" s="37" t="s">
        <v>62</v>
      </c>
      <c r="D65" s="37" t="s">
        <v>23</v>
      </c>
      <c r="E65" s="37" t="s">
        <v>80</v>
      </c>
      <c r="F65" s="37" t="s">
        <v>46</v>
      </c>
      <c r="G65" s="35" t="str">
        <f>_xlfn.XLOOKUP(F65,Lists!$J$2:$J$13,Lists!$K$2:$K$13,"Not Found")</f>
        <v>Furniture</v>
      </c>
      <c r="H65" s="37">
        <v>3</v>
      </c>
      <c r="I65" s="35">
        <f>_xlfn.XLOOKUP(F65,Lists!$D$2:$D$13,Lists!$E$2:$E$13,"Not Found")</f>
        <v>22000</v>
      </c>
      <c r="J65" s="47">
        <v>0.15</v>
      </c>
      <c r="K65" s="35">
        <f>H65*I65*(1-J65)</f>
        <v>56100</v>
      </c>
      <c r="L65" s="37" t="s">
        <v>21</v>
      </c>
      <c r="M65" s="37" t="s">
        <v>22</v>
      </c>
      <c r="N65" s="4" t="str">
        <f>IF(I65=_xlfn.XLOOKUP(F65,Lists!$D$2:$D$13,Lists!$E$2:$E$13,"Not Found"),"OK","Check Price")</f>
        <v>OK</v>
      </c>
    </row>
    <row r="66" spans="1:14" ht="15.5" hidden="1" thickTop="1" thickBot="1" x14ac:dyDescent="0.4">
      <c r="A66" s="36" t="str">
        <f t="shared" si="0"/>
        <v>ORD0065</v>
      </c>
      <c r="B66" s="34">
        <v>45474</v>
      </c>
      <c r="C66" s="38" t="s">
        <v>62</v>
      </c>
      <c r="D66" s="38" t="s">
        <v>28</v>
      </c>
      <c r="E66" s="38" t="s">
        <v>119</v>
      </c>
      <c r="F66" s="38" t="s">
        <v>43</v>
      </c>
      <c r="G66" s="38" t="s">
        <v>19</v>
      </c>
      <c r="H66" s="38">
        <v>4</v>
      </c>
      <c r="I66" s="38">
        <v>30000</v>
      </c>
      <c r="J66" s="38">
        <v>0.1</v>
      </c>
      <c r="K66" s="38">
        <f t="shared" si="1"/>
        <v>108000</v>
      </c>
      <c r="L66" s="38" t="s">
        <v>37</v>
      </c>
      <c r="M66" s="38" t="s">
        <v>38</v>
      </c>
      <c r="N66" s="4" t="str">
        <f>IF(I66=_xlfn.XLOOKUP(F66,Lists!$D$2:$D$13,Lists!$E$2:$E$13,"Not Found"),"OK","Check Price")</f>
        <v>Check Price</v>
      </c>
    </row>
    <row r="67" spans="1:14" ht="15.5" hidden="1" thickTop="1" thickBot="1" x14ac:dyDescent="0.4">
      <c r="A67" s="36" t="str">
        <f t="shared" ref="A67:A130" si="2">"ORD"&amp;TEXT(ROW()-1,"0000")</f>
        <v>ORD0066</v>
      </c>
      <c r="B67" s="34">
        <v>45556</v>
      </c>
      <c r="C67" s="37" t="s">
        <v>59</v>
      </c>
      <c r="D67" s="37" t="s">
        <v>23</v>
      </c>
      <c r="E67" s="37" t="s">
        <v>35</v>
      </c>
      <c r="F67" s="37" t="s">
        <v>40</v>
      </c>
      <c r="G67" s="37" t="s">
        <v>30</v>
      </c>
      <c r="H67" s="37">
        <v>3</v>
      </c>
      <c r="I67" s="37">
        <v>1500</v>
      </c>
      <c r="J67" s="37">
        <v>0.15</v>
      </c>
      <c r="K67" s="37">
        <f t="shared" ref="K67:K130" si="3">H67*I67*(1-J67)</f>
        <v>3825</v>
      </c>
      <c r="L67" s="37" t="s">
        <v>53</v>
      </c>
      <c r="M67" s="37" t="s">
        <v>33</v>
      </c>
      <c r="N67" s="4" t="str">
        <f>IF(I67=_xlfn.XLOOKUP(F67,Lists!$D$2:$D$13,Lists!$E$2:$E$13,"Not Found"),"OK","Check Price")</f>
        <v>Check Price</v>
      </c>
    </row>
    <row r="68" spans="1:14" ht="15.5" hidden="1" thickTop="1" thickBot="1" x14ac:dyDescent="0.4">
      <c r="A68" s="36" t="str">
        <f t="shared" si="2"/>
        <v>ORD0067</v>
      </c>
      <c r="B68" s="34">
        <v>45642</v>
      </c>
      <c r="C68" s="38" t="s">
        <v>59</v>
      </c>
      <c r="D68" s="38" t="s">
        <v>48</v>
      </c>
      <c r="E68" s="38" t="s">
        <v>119</v>
      </c>
      <c r="F68" s="38" t="s">
        <v>36</v>
      </c>
      <c r="G68" s="38" t="s">
        <v>30</v>
      </c>
      <c r="H68" s="38">
        <v>9</v>
      </c>
      <c r="I68" s="38">
        <v>12000</v>
      </c>
      <c r="J68" s="38">
        <v>0.2</v>
      </c>
      <c r="K68" s="38">
        <f t="shared" si="3"/>
        <v>86400</v>
      </c>
      <c r="L68" s="38" t="s">
        <v>50</v>
      </c>
      <c r="M68" s="38" t="s">
        <v>27</v>
      </c>
      <c r="N68" s="4" t="str">
        <f>IF(I68=_xlfn.XLOOKUP(F68,Lists!$D$2:$D$13,Lists!$E$2:$E$13,"Not Found"),"OK","Check Price")</f>
        <v>Check Price</v>
      </c>
    </row>
    <row r="69" spans="1:14" ht="15.5" hidden="1" thickTop="1" thickBot="1" x14ac:dyDescent="0.4">
      <c r="A69" s="36" t="str">
        <f t="shared" si="2"/>
        <v>ORD0068</v>
      </c>
      <c r="B69" s="34">
        <v>45978</v>
      </c>
      <c r="C69" s="37" t="s">
        <v>75</v>
      </c>
      <c r="D69" s="37" t="s">
        <v>54</v>
      </c>
      <c r="E69" s="37" t="s">
        <v>80</v>
      </c>
      <c r="F69" s="37" t="s">
        <v>57</v>
      </c>
      <c r="G69" s="37" t="s">
        <v>19</v>
      </c>
      <c r="H69" s="37">
        <v>6</v>
      </c>
      <c r="I69" s="37">
        <v>85000</v>
      </c>
      <c r="J69" s="37">
        <v>0.2</v>
      </c>
      <c r="K69" s="37">
        <f t="shared" si="3"/>
        <v>408000</v>
      </c>
      <c r="L69" s="37" t="s">
        <v>53</v>
      </c>
      <c r="M69" s="37" t="s">
        <v>33</v>
      </c>
      <c r="N69" s="4" t="str">
        <f>IF(I69=_xlfn.XLOOKUP(F69,Lists!$D$2:$D$13,Lists!$E$2:$E$13,"Not Found"),"OK","Check Price")</f>
        <v>Check Price</v>
      </c>
    </row>
    <row r="70" spans="1:14" ht="15.5" hidden="1" thickTop="1" thickBot="1" x14ac:dyDescent="0.4">
      <c r="A70" s="36" t="str">
        <f t="shared" si="2"/>
        <v>ORD0069</v>
      </c>
      <c r="B70" s="34">
        <v>45500</v>
      </c>
      <c r="C70" s="38" t="s">
        <v>66</v>
      </c>
      <c r="D70" s="38" t="s">
        <v>51</v>
      </c>
      <c r="E70" s="38" t="s">
        <v>119</v>
      </c>
      <c r="F70" s="38" t="s">
        <v>40</v>
      </c>
      <c r="G70" s="38" t="s">
        <v>24</v>
      </c>
      <c r="H70" s="38">
        <v>1</v>
      </c>
      <c r="I70" s="38">
        <v>30000</v>
      </c>
      <c r="J70" s="38">
        <v>0.15</v>
      </c>
      <c r="K70" s="38">
        <f t="shared" si="3"/>
        <v>25500</v>
      </c>
      <c r="L70" s="38" t="s">
        <v>47</v>
      </c>
      <c r="M70" s="38" t="s">
        <v>38</v>
      </c>
      <c r="N70" s="4" t="str">
        <f>IF(I70=_xlfn.XLOOKUP(F70,Lists!$D$2:$D$13,Lists!$E$2:$E$13,"Not Found"),"OK","Check Price")</f>
        <v>Check Price</v>
      </c>
    </row>
    <row r="71" spans="1:14" ht="15.5" hidden="1" thickTop="1" thickBot="1" x14ac:dyDescent="0.4">
      <c r="A71" s="36" t="str">
        <f t="shared" si="2"/>
        <v>ORD0070</v>
      </c>
      <c r="B71" s="34">
        <v>45633</v>
      </c>
      <c r="C71" s="37" t="s">
        <v>61</v>
      </c>
      <c r="D71" s="37" t="s">
        <v>23</v>
      </c>
      <c r="E71" s="37" t="s">
        <v>35</v>
      </c>
      <c r="F71" s="37" t="s">
        <v>25</v>
      </c>
      <c r="G71" s="37" t="s">
        <v>19</v>
      </c>
      <c r="H71" s="37">
        <v>1</v>
      </c>
      <c r="I71" s="37">
        <v>30000</v>
      </c>
      <c r="J71" s="37">
        <v>0.25</v>
      </c>
      <c r="K71" s="37">
        <f t="shared" si="3"/>
        <v>22500</v>
      </c>
      <c r="L71" s="37" t="s">
        <v>50</v>
      </c>
      <c r="M71" s="37" t="s">
        <v>33</v>
      </c>
      <c r="N71" s="4" t="str">
        <f>IF(I71=_xlfn.XLOOKUP(F71,Lists!$D$2:$D$13,Lists!$E$2:$E$13,"Not Found"),"OK","Check Price")</f>
        <v>OK</v>
      </c>
    </row>
    <row r="72" spans="1:14" ht="15.5" hidden="1" thickTop="1" thickBot="1" x14ac:dyDescent="0.4">
      <c r="A72" s="36" t="str">
        <f t="shared" si="2"/>
        <v>ORD0071</v>
      </c>
      <c r="B72" s="34">
        <v>45969</v>
      </c>
      <c r="C72" s="38" t="s">
        <v>64</v>
      </c>
      <c r="D72" s="38" t="s">
        <v>42</v>
      </c>
      <c r="E72" s="38" t="s">
        <v>29</v>
      </c>
      <c r="F72" s="38" t="s">
        <v>52</v>
      </c>
      <c r="G72" s="38" t="s">
        <v>30</v>
      </c>
      <c r="H72" s="38">
        <v>1</v>
      </c>
      <c r="I72" s="38">
        <v>4000</v>
      </c>
      <c r="J72" s="38">
        <v>0.1</v>
      </c>
      <c r="K72" s="38">
        <f t="shared" si="3"/>
        <v>3600</v>
      </c>
      <c r="L72" s="38" t="s">
        <v>21</v>
      </c>
      <c r="M72" s="38" t="s">
        <v>27</v>
      </c>
      <c r="N72" s="4" t="str">
        <f>IF(I72=_xlfn.XLOOKUP(F72,Lists!$D$2:$D$13,Lists!$E$2:$E$13,"Not Found"),"OK","Check Price")</f>
        <v>Check Price</v>
      </c>
    </row>
    <row r="73" spans="1:14" ht="15.5" hidden="1" thickTop="1" thickBot="1" x14ac:dyDescent="0.4">
      <c r="A73" s="36" t="str">
        <f t="shared" si="2"/>
        <v>ORD0072</v>
      </c>
      <c r="B73" s="34">
        <v>45736</v>
      </c>
      <c r="C73" s="37" t="s">
        <v>71</v>
      </c>
      <c r="D73" s="37" t="s">
        <v>23</v>
      </c>
      <c r="E73" s="37" t="s">
        <v>35</v>
      </c>
      <c r="F73" s="37" t="s">
        <v>52</v>
      </c>
      <c r="G73" s="37" t="s">
        <v>24</v>
      </c>
      <c r="H73" s="37">
        <v>9</v>
      </c>
      <c r="I73" s="37">
        <v>5000</v>
      </c>
      <c r="J73" s="37">
        <v>0.25</v>
      </c>
      <c r="K73" s="37">
        <f t="shared" si="3"/>
        <v>33750</v>
      </c>
      <c r="L73" s="37" t="s">
        <v>47</v>
      </c>
      <c r="M73" s="37" t="s">
        <v>33</v>
      </c>
      <c r="N73" s="4" t="str">
        <f>IF(I73=_xlfn.XLOOKUP(F73,Lists!$D$2:$D$13,Lists!$E$2:$E$13,"Not Found"),"OK","Check Price")</f>
        <v>Check Price</v>
      </c>
    </row>
    <row r="74" spans="1:14" ht="15.5" hidden="1" thickTop="1" thickBot="1" x14ac:dyDescent="0.4">
      <c r="A74" s="36" t="str">
        <f t="shared" si="2"/>
        <v>ORD0073</v>
      </c>
      <c r="B74" s="34">
        <v>45729</v>
      </c>
      <c r="C74" s="38" t="s">
        <v>64</v>
      </c>
      <c r="D74" s="38" t="s">
        <v>48</v>
      </c>
      <c r="E74" s="38" t="s">
        <v>35</v>
      </c>
      <c r="F74" s="38" t="s">
        <v>25</v>
      </c>
      <c r="G74" s="38" t="s">
        <v>19</v>
      </c>
      <c r="H74" s="38">
        <v>10</v>
      </c>
      <c r="I74" s="38">
        <v>350</v>
      </c>
      <c r="J74" s="38">
        <v>0.25</v>
      </c>
      <c r="K74" s="38">
        <f t="shared" si="3"/>
        <v>2625</v>
      </c>
      <c r="L74" s="38" t="s">
        <v>21</v>
      </c>
      <c r="M74" s="38" t="s">
        <v>33</v>
      </c>
      <c r="N74" s="4" t="str">
        <f>IF(I74=_xlfn.XLOOKUP(F74,Lists!$D$2:$D$13,Lists!$E$2:$E$13,"Not Found"),"OK","Check Price")</f>
        <v>Check Price</v>
      </c>
    </row>
    <row r="75" spans="1:14" ht="15.5" thickTop="1" thickBot="1" x14ac:dyDescent="0.4">
      <c r="A75" s="36" t="str">
        <f t="shared" si="2"/>
        <v>ORD0074</v>
      </c>
      <c r="B75" s="34">
        <v>45911</v>
      </c>
      <c r="C75" s="37" t="s">
        <v>75</v>
      </c>
      <c r="D75" s="37" t="s">
        <v>51</v>
      </c>
      <c r="E75" s="37" t="s">
        <v>79</v>
      </c>
      <c r="F75" s="37" t="s">
        <v>55</v>
      </c>
      <c r="G75" s="35" t="str">
        <f>_xlfn.XLOOKUP(F75,Lists!$J$2:$J$13,Lists!$K$2:$K$13,"Not Found")</f>
        <v>Office Supplies</v>
      </c>
      <c r="H75" s="37">
        <v>3</v>
      </c>
      <c r="I75" s="35">
        <f>_xlfn.XLOOKUP(F75,Lists!$D$2:$D$13,Lists!$E$2:$E$13,"Not Found")</f>
        <v>1500</v>
      </c>
      <c r="J75" s="47">
        <v>0.05</v>
      </c>
      <c r="K75" s="35">
        <f>H75*I75*(1-J75)</f>
        <v>4275</v>
      </c>
      <c r="L75" s="37" t="s">
        <v>26</v>
      </c>
      <c r="M75" s="37" t="s">
        <v>27</v>
      </c>
      <c r="N75" s="4" t="str">
        <f>IF(I75=_xlfn.XLOOKUP(F75,Lists!$D$2:$D$13,Lists!$E$2:$E$13,"Not Found"),"OK","Check Price")</f>
        <v>OK</v>
      </c>
    </row>
    <row r="76" spans="1:14" ht="15.5" hidden="1" thickTop="1" thickBot="1" x14ac:dyDescent="0.4">
      <c r="A76" s="36" t="str">
        <f t="shared" si="2"/>
        <v>ORD0075</v>
      </c>
      <c r="B76" s="34">
        <v>45591</v>
      </c>
      <c r="C76" s="38" t="s">
        <v>61</v>
      </c>
      <c r="D76" s="38" t="s">
        <v>51</v>
      </c>
      <c r="E76" s="38" t="s">
        <v>80</v>
      </c>
      <c r="F76" s="38" t="s">
        <v>49</v>
      </c>
      <c r="G76" s="38" t="s">
        <v>24</v>
      </c>
      <c r="H76" s="38">
        <v>3</v>
      </c>
      <c r="I76" s="38">
        <v>2000</v>
      </c>
      <c r="J76" s="38">
        <v>0.1</v>
      </c>
      <c r="K76" s="38">
        <f t="shared" si="3"/>
        <v>5400</v>
      </c>
      <c r="L76" s="38" t="s">
        <v>26</v>
      </c>
      <c r="M76" s="38" t="s">
        <v>22</v>
      </c>
      <c r="N76" s="4" t="str">
        <f>IF(I76=_xlfn.XLOOKUP(F76,Lists!$D$2:$D$13,Lists!$E$2:$E$13,"Not Found"),"OK","Check Price")</f>
        <v>Check Price</v>
      </c>
    </row>
    <row r="77" spans="1:14" ht="15.5" hidden="1" thickTop="1" thickBot="1" x14ac:dyDescent="0.4">
      <c r="A77" s="36" t="str">
        <f t="shared" si="2"/>
        <v>ORD0076</v>
      </c>
      <c r="B77" s="34">
        <v>45408</v>
      </c>
      <c r="C77" s="37" t="s">
        <v>75</v>
      </c>
      <c r="D77" s="37" t="s">
        <v>48</v>
      </c>
      <c r="E77" s="37" t="s">
        <v>29</v>
      </c>
      <c r="F77" s="37" t="s">
        <v>57</v>
      </c>
      <c r="G77" s="37" t="s">
        <v>30</v>
      </c>
      <c r="H77" s="37">
        <v>9</v>
      </c>
      <c r="I77" s="37">
        <v>22000</v>
      </c>
      <c r="J77" s="37">
        <v>0.2</v>
      </c>
      <c r="K77" s="37">
        <f t="shared" si="3"/>
        <v>158400</v>
      </c>
      <c r="L77" s="37" t="s">
        <v>47</v>
      </c>
      <c r="M77" s="37" t="s">
        <v>38</v>
      </c>
      <c r="N77" s="4" t="str">
        <f>IF(I77=_xlfn.XLOOKUP(F77,Lists!$D$2:$D$13,Lists!$E$2:$E$13,"Not Found"),"OK","Check Price")</f>
        <v>Check Price</v>
      </c>
    </row>
    <row r="78" spans="1:14" ht="15.5" hidden="1" thickTop="1" thickBot="1" x14ac:dyDescent="0.4">
      <c r="A78" s="36" t="str">
        <f t="shared" si="2"/>
        <v>ORD0077</v>
      </c>
      <c r="B78" s="34">
        <v>45324</v>
      </c>
      <c r="C78" s="38" t="s">
        <v>65</v>
      </c>
      <c r="D78" s="38" t="s">
        <v>54</v>
      </c>
      <c r="E78" s="38" t="s">
        <v>35</v>
      </c>
      <c r="F78" s="38" t="s">
        <v>58</v>
      </c>
      <c r="G78" s="38" t="s">
        <v>24</v>
      </c>
      <c r="H78" s="38">
        <v>7</v>
      </c>
      <c r="I78" s="38">
        <v>5000</v>
      </c>
      <c r="J78" s="38">
        <v>0.2</v>
      </c>
      <c r="K78" s="38">
        <f t="shared" si="3"/>
        <v>28000</v>
      </c>
      <c r="L78" s="38" t="s">
        <v>44</v>
      </c>
      <c r="M78" s="38" t="s">
        <v>33</v>
      </c>
      <c r="N78" s="4" t="str">
        <f>IF(I78=_xlfn.XLOOKUP(F78,Lists!$D$2:$D$13,Lists!$E$2:$E$13,"Not Found"),"OK","Check Price")</f>
        <v>OK</v>
      </c>
    </row>
    <row r="79" spans="1:14" ht="15.5" hidden="1" thickTop="1" thickBot="1" x14ac:dyDescent="0.4">
      <c r="A79" s="36" t="str">
        <f t="shared" si="2"/>
        <v>ORD0078</v>
      </c>
      <c r="B79" s="34">
        <v>45469</v>
      </c>
      <c r="C79" s="37" t="s">
        <v>67</v>
      </c>
      <c r="D79" s="37" t="s">
        <v>17</v>
      </c>
      <c r="E79" s="37" t="s">
        <v>79</v>
      </c>
      <c r="F79" s="37" t="s">
        <v>25</v>
      </c>
      <c r="G79" s="37" t="s">
        <v>30</v>
      </c>
      <c r="H79" s="37">
        <v>9</v>
      </c>
      <c r="I79" s="37">
        <v>30000</v>
      </c>
      <c r="J79" s="37">
        <v>0.15</v>
      </c>
      <c r="K79" s="37">
        <f t="shared" si="3"/>
        <v>229500</v>
      </c>
      <c r="L79" s="37" t="s">
        <v>21</v>
      </c>
      <c r="M79" s="37" t="s">
        <v>38</v>
      </c>
      <c r="N79" s="4" t="str">
        <f>IF(I79=_xlfn.XLOOKUP(F79,Lists!$D$2:$D$13,Lists!$E$2:$E$13,"Not Found"),"OK","Check Price")</f>
        <v>OK</v>
      </c>
    </row>
    <row r="80" spans="1:14" ht="15.5" hidden="1" thickTop="1" thickBot="1" x14ac:dyDescent="0.4">
      <c r="A80" s="36" t="str">
        <f t="shared" si="2"/>
        <v>ORD0079</v>
      </c>
      <c r="B80" s="34">
        <v>45702</v>
      </c>
      <c r="C80" s="38" t="s">
        <v>64</v>
      </c>
      <c r="D80" s="38" t="s">
        <v>17</v>
      </c>
      <c r="E80" s="38" t="s">
        <v>80</v>
      </c>
      <c r="F80" s="38" t="s">
        <v>36</v>
      </c>
      <c r="G80" s="38" t="s">
        <v>19</v>
      </c>
      <c r="H80" s="38">
        <v>8</v>
      </c>
      <c r="I80" s="38">
        <v>2500</v>
      </c>
      <c r="J80" s="38">
        <v>0.15</v>
      </c>
      <c r="K80" s="38">
        <f t="shared" si="3"/>
        <v>17000</v>
      </c>
      <c r="L80" s="38" t="s">
        <v>47</v>
      </c>
      <c r="M80" s="38" t="s">
        <v>27</v>
      </c>
      <c r="N80" s="4" t="str">
        <f>IF(I80=_xlfn.XLOOKUP(F80,Lists!$D$2:$D$13,Lists!$E$2:$E$13,"Not Found"),"OK","Check Price")</f>
        <v>OK</v>
      </c>
    </row>
    <row r="81" spans="1:14" ht="15.5" thickTop="1" thickBot="1" x14ac:dyDescent="0.4">
      <c r="A81" s="36" t="str">
        <f t="shared" si="2"/>
        <v>ORD0080</v>
      </c>
      <c r="B81" s="34">
        <v>45842</v>
      </c>
      <c r="C81" s="37" t="s">
        <v>78</v>
      </c>
      <c r="D81" s="37" t="s">
        <v>28</v>
      </c>
      <c r="E81" s="37" t="s">
        <v>18</v>
      </c>
      <c r="F81" s="37" t="s">
        <v>20</v>
      </c>
      <c r="G81" s="35" t="str">
        <f>_xlfn.XLOOKUP(F81,Lists!$J$2:$J$13,Lists!$K$2:$K$13,"Not Found")</f>
        <v>Electronics</v>
      </c>
      <c r="H81" s="37">
        <v>10</v>
      </c>
      <c r="I81" s="35">
        <f>_xlfn.XLOOKUP(F81,Lists!$D$2:$D$13,Lists!$E$2:$E$13,"Not Found")</f>
        <v>85000</v>
      </c>
      <c r="J81" s="47">
        <v>0.2</v>
      </c>
      <c r="K81" s="35">
        <f>H81*I81*(1-J81)</f>
        <v>680000</v>
      </c>
      <c r="L81" s="37" t="s">
        <v>56</v>
      </c>
      <c r="M81" s="37" t="s">
        <v>27</v>
      </c>
      <c r="N81" s="4" t="str">
        <f>IF(I81=_xlfn.XLOOKUP(F81,Lists!$D$2:$D$13,Lists!$E$2:$E$13,"Not Found"),"OK","Check Price")</f>
        <v>OK</v>
      </c>
    </row>
    <row r="82" spans="1:14" ht="15.5" hidden="1" thickTop="1" thickBot="1" x14ac:dyDescent="0.4">
      <c r="A82" s="36" t="str">
        <f t="shared" si="2"/>
        <v>ORD0081</v>
      </c>
      <c r="B82" s="34">
        <v>45612</v>
      </c>
      <c r="C82" s="38" t="s">
        <v>66</v>
      </c>
      <c r="D82" s="38" t="s">
        <v>48</v>
      </c>
      <c r="E82" s="38" t="s">
        <v>18</v>
      </c>
      <c r="F82" s="38" t="s">
        <v>52</v>
      </c>
      <c r="G82" s="38" t="s">
        <v>24</v>
      </c>
      <c r="H82" s="38">
        <v>3</v>
      </c>
      <c r="I82" s="38">
        <v>22000</v>
      </c>
      <c r="J82" s="38">
        <v>0.05</v>
      </c>
      <c r="K82" s="38">
        <f t="shared" si="3"/>
        <v>62700</v>
      </c>
      <c r="L82" s="38" t="s">
        <v>21</v>
      </c>
      <c r="M82" s="38" t="s">
        <v>27</v>
      </c>
      <c r="N82" s="4" t="str">
        <f>IF(I82=_xlfn.XLOOKUP(F82,Lists!$D$2:$D$13,Lists!$E$2:$E$13,"Not Found"),"OK","Check Price")</f>
        <v>Check Price</v>
      </c>
    </row>
    <row r="83" spans="1:14" ht="15.5" thickTop="1" thickBot="1" x14ac:dyDescent="0.4">
      <c r="A83" s="36" t="str">
        <f t="shared" si="2"/>
        <v>ORD0082</v>
      </c>
      <c r="B83" s="34">
        <v>45608</v>
      </c>
      <c r="C83" s="37" t="s">
        <v>59</v>
      </c>
      <c r="D83" s="37" t="s">
        <v>34</v>
      </c>
      <c r="E83" s="37" t="s">
        <v>80</v>
      </c>
      <c r="F83" s="37" t="s">
        <v>46</v>
      </c>
      <c r="G83" s="35" t="str">
        <f>_xlfn.XLOOKUP(F83,Lists!$J$2:$J$13,Lists!$K$2:$K$13,"Not Found")</f>
        <v>Furniture</v>
      </c>
      <c r="H83" s="37">
        <v>4</v>
      </c>
      <c r="I83" s="35">
        <f>_xlfn.XLOOKUP(F83,Lists!$D$2:$D$13,Lists!$E$2:$E$13,"Not Found")</f>
        <v>22000</v>
      </c>
      <c r="J83" s="47">
        <v>0.1</v>
      </c>
      <c r="K83" s="35">
        <f>H83*I83*(1-J83)</f>
        <v>79200</v>
      </c>
      <c r="L83" s="37" t="s">
        <v>56</v>
      </c>
      <c r="M83" s="37" t="s">
        <v>27</v>
      </c>
      <c r="N83" s="4" t="str">
        <f>IF(I83=_xlfn.XLOOKUP(F83,Lists!$D$2:$D$13,Lists!$E$2:$E$13,"Not Found"),"OK","Check Price")</f>
        <v>OK</v>
      </c>
    </row>
    <row r="84" spans="1:14" ht="15.5" hidden="1" thickTop="1" thickBot="1" x14ac:dyDescent="0.4">
      <c r="A84" s="36" t="str">
        <f t="shared" si="2"/>
        <v>ORD0083</v>
      </c>
      <c r="B84" s="34">
        <v>45342</v>
      </c>
      <c r="C84" s="38" t="s">
        <v>68</v>
      </c>
      <c r="D84" s="38" t="s">
        <v>48</v>
      </c>
      <c r="E84" s="38" t="s">
        <v>18</v>
      </c>
      <c r="F84" s="38" t="s">
        <v>52</v>
      </c>
      <c r="G84" s="38" t="s">
        <v>30</v>
      </c>
      <c r="H84" s="38">
        <v>4</v>
      </c>
      <c r="I84" s="38">
        <v>28000</v>
      </c>
      <c r="J84" s="38">
        <v>0.15</v>
      </c>
      <c r="K84" s="38">
        <f t="shared" si="3"/>
        <v>95200</v>
      </c>
      <c r="L84" s="38" t="s">
        <v>47</v>
      </c>
      <c r="M84" s="38" t="s">
        <v>33</v>
      </c>
      <c r="N84" s="4" t="str">
        <f>IF(I84=_xlfn.XLOOKUP(F84,Lists!$D$2:$D$13,Lists!$E$2:$E$13,"Not Found"),"OK","Check Price")</f>
        <v>Check Price</v>
      </c>
    </row>
    <row r="85" spans="1:14" ht="15.5" hidden="1" thickTop="1" thickBot="1" x14ac:dyDescent="0.4">
      <c r="A85" s="36" t="str">
        <f t="shared" si="2"/>
        <v>ORD0084</v>
      </c>
      <c r="B85" s="34">
        <v>45357</v>
      </c>
      <c r="C85" s="37" t="s">
        <v>60</v>
      </c>
      <c r="D85" s="37" t="s">
        <v>48</v>
      </c>
      <c r="E85" s="37" t="s">
        <v>119</v>
      </c>
      <c r="F85" s="37" t="s">
        <v>49</v>
      </c>
      <c r="G85" s="37" t="s">
        <v>24</v>
      </c>
      <c r="H85" s="37">
        <v>8</v>
      </c>
      <c r="I85" s="37">
        <v>350</v>
      </c>
      <c r="J85" s="37">
        <v>0.1</v>
      </c>
      <c r="K85" s="37">
        <f t="shared" si="3"/>
        <v>2520</v>
      </c>
      <c r="L85" s="37" t="s">
        <v>37</v>
      </c>
      <c r="M85" s="37" t="s">
        <v>33</v>
      </c>
      <c r="N85" s="4" t="str">
        <f>IF(I85=_xlfn.XLOOKUP(F85,Lists!$D$2:$D$13,Lists!$E$2:$E$13,"Not Found"),"OK","Check Price")</f>
        <v>OK</v>
      </c>
    </row>
    <row r="86" spans="1:14" ht="15.5" hidden="1" thickTop="1" thickBot="1" x14ac:dyDescent="0.4">
      <c r="A86" s="36" t="str">
        <f t="shared" si="2"/>
        <v>ORD0085</v>
      </c>
      <c r="B86" s="34">
        <v>45453</v>
      </c>
      <c r="C86" s="38" t="s">
        <v>66</v>
      </c>
      <c r="D86" s="38" t="s">
        <v>54</v>
      </c>
      <c r="E86" s="38" t="s">
        <v>35</v>
      </c>
      <c r="F86" s="38" t="s">
        <v>49</v>
      </c>
      <c r="G86" s="38" t="s">
        <v>19</v>
      </c>
      <c r="H86" s="38">
        <v>4</v>
      </c>
      <c r="I86" s="38">
        <v>30000</v>
      </c>
      <c r="J86" s="38">
        <v>0.1</v>
      </c>
      <c r="K86" s="38">
        <f t="shared" si="3"/>
        <v>108000</v>
      </c>
      <c r="L86" s="38" t="s">
        <v>26</v>
      </c>
      <c r="M86" s="38" t="s">
        <v>27</v>
      </c>
      <c r="N86" s="4" t="str">
        <f>IF(I86=_xlfn.XLOOKUP(F86,Lists!$D$2:$D$13,Lists!$E$2:$E$13,"Not Found"),"OK","Check Price")</f>
        <v>Check Price</v>
      </c>
    </row>
    <row r="87" spans="1:14" ht="15.5" hidden="1" thickTop="1" thickBot="1" x14ac:dyDescent="0.4">
      <c r="A87" s="36" t="str">
        <f t="shared" si="2"/>
        <v>ORD0086</v>
      </c>
      <c r="B87" s="34">
        <v>45556</v>
      </c>
      <c r="C87" s="37" t="s">
        <v>70</v>
      </c>
      <c r="D87" s="37" t="s">
        <v>51</v>
      </c>
      <c r="E87" s="37" t="s">
        <v>29</v>
      </c>
      <c r="F87" s="37" t="s">
        <v>40</v>
      </c>
      <c r="G87" s="37" t="s">
        <v>24</v>
      </c>
      <c r="H87" s="37">
        <v>6</v>
      </c>
      <c r="I87" s="37">
        <v>2500</v>
      </c>
      <c r="J87" s="37">
        <v>0.05</v>
      </c>
      <c r="K87" s="37">
        <f t="shared" si="3"/>
        <v>14250</v>
      </c>
      <c r="L87" s="37" t="s">
        <v>56</v>
      </c>
      <c r="M87" s="37" t="s">
        <v>27</v>
      </c>
      <c r="N87" s="4" t="str">
        <f>IF(I87=_xlfn.XLOOKUP(F87,Lists!$D$2:$D$13,Lists!$E$2:$E$13,"Not Found"),"OK","Check Price")</f>
        <v>Check Price</v>
      </c>
    </row>
    <row r="88" spans="1:14" ht="15.5" hidden="1" thickTop="1" thickBot="1" x14ac:dyDescent="0.4">
      <c r="A88" s="36" t="str">
        <f t="shared" si="2"/>
        <v>ORD0087</v>
      </c>
      <c r="B88" s="34">
        <v>45419</v>
      </c>
      <c r="C88" s="38" t="s">
        <v>78</v>
      </c>
      <c r="D88" s="38" t="s">
        <v>45</v>
      </c>
      <c r="E88" s="38" t="s">
        <v>119</v>
      </c>
      <c r="F88" s="38" t="s">
        <v>25</v>
      </c>
      <c r="G88" s="38" t="s">
        <v>19</v>
      </c>
      <c r="H88" s="38">
        <v>4</v>
      </c>
      <c r="I88" s="38">
        <v>85000</v>
      </c>
      <c r="J88" s="38">
        <v>0.05</v>
      </c>
      <c r="K88" s="38">
        <f t="shared" si="3"/>
        <v>323000</v>
      </c>
      <c r="L88" s="38" t="s">
        <v>56</v>
      </c>
      <c r="M88" s="38" t="s">
        <v>27</v>
      </c>
      <c r="N88" s="4" t="str">
        <f>IF(I88=_xlfn.XLOOKUP(F88,Lists!$D$2:$D$13,Lists!$E$2:$E$13,"Not Found"),"OK","Check Price")</f>
        <v>Check Price</v>
      </c>
    </row>
    <row r="89" spans="1:14" ht="15.5" hidden="1" thickTop="1" thickBot="1" x14ac:dyDescent="0.4">
      <c r="A89" s="36" t="str">
        <f t="shared" si="2"/>
        <v>ORD0088</v>
      </c>
      <c r="B89" s="34">
        <v>45338</v>
      </c>
      <c r="C89" s="37" t="s">
        <v>72</v>
      </c>
      <c r="D89" s="37" t="s">
        <v>45</v>
      </c>
      <c r="E89" s="37" t="s">
        <v>79</v>
      </c>
      <c r="F89" s="37" t="s">
        <v>36</v>
      </c>
      <c r="G89" s="37" t="s">
        <v>30</v>
      </c>
      <c r="H89" s="37">
        <v>9</v>
      </c>
      <c r="I89" s="37">
        <v>85000</v>
      </c>
      <c r="J89" s="37">
        <v>0.05</v>
      </c>
      <c r="K89" s="37">
        <f t="shared" si="3"/>
        <v>726750</v>
      </c>
      <c r="L89" s="37" t="s">
        <v>32</v>
      </c>
      <c r="M89" s="37" t="s">
        <v>22</v>
      </c>
      <c r="N89" s="4" t="str">
        <f>IF(I89=_xlfn.XLOOKUP(F89,Lists!$D$2:$D$13,Lists!$E$2:$E$13,"Not Found"),"OK","Check Price")</f>
        <v>Check Price</v>
      </c>
    </row>
    <row r="90" spans="1:14" ht="15.5" thickTop="1" thickBot="1" x14ac:dyDescent="0.4">
      <c r="A90" s="36" t="str">
        <f t="shared" si="2"/>
        <v>ORD0089</v>
      </c>
      <c r="B90" s="34">
        <v>45916</v>
      </c>
      <c r="C90" s="38" t="s">
        <v>68</v>
      </c>
      <c r="D90" s="38" t="s">
        <v>23</v>
      </c>
      <c r="E90" s="38" t="s">
        <v>35</v>
      </c>
      <c r="F90" s="38" t="s">
        <v>55</v>
      </c>
      <c r="G90" s="35" t="str">
        <f>_xlfn.XLOOKUP(F90,Lists!$J$2:$J$13,Lists!$K$2:$K$13,"Not Found")</f>
        <v>Office Supplies</v>
      </c>
      <c r="H90" s="38">
        <v>2</v>
      </c>
      <c r="I90" s="35">
        <f>_xlfn.XLOOKUP(F90,Lists!$D$2:$D$13,Lists!$E$2:$E$13,"Not Found")</f>
        <v>1500</v>
      </c>
      <c r="J90" s="48">
        <v>0.05</v>
      </c>
      <c r="K90" s="35">
        <f>H90*I90*(1-J90)</f>
        <v>2850</v>
      </c>
      <c r="L90" s="38" t="s">
        <v>53</v>
      </c>
      <c r="M90" s="38" t="s">
        <v>27</v>
      </c>
      <c r="N90" s="4" t="str">
        <f>IF(I90=_xlfn.XLOOKUP(F90,Lists!$D$2:$D$13,Lists!$E$2:$E$13,"Not Found"),"OK","Check Price")</f>
        <v>OK</v>
      </c>
    </row>
    <row r="91" spans="1:14" ht="15.5" hidden="1" thickTop="1" thickBot="1" x14ac:dyDescent="0.4">
      <c r="A91" s="36" t="str">
        <f t="shared" si="2"/>
        <v>ORD0090</v>
      </c>
      <c r="B91" s="34">
        <v>45860</v>
      </c>
      <c r="C91" s="37" t="s">
        <v>59</v>
      </c>
      <c r="D91" s="37" t="s">
        <v>54</v>
      </c>
      <c r="E91" s="37" t="s">
        <v>18</v>
      </c>
      <c r="F91" s="37" t="s">
        <v>31</v>
      </c>
      <c r="G91" s="37" t="s">
        <v>24</v>
      </c>
      <c r="H91" s="37">
        <v>2</v>
      </c>
      <c r="I91" s="37">
        <v>2000</v>
      </c>
      <c r="J91" s="37">
        <v>0.25</v>
      </c>
      <c r="K91" s="37">
        <f t="shared" si="3"/>
        <v>3000</v>
      </c>
      <c r="L91" s="37" t="s">
        <v>21</v>
      </c>
      <c r="M91" s="37" t="s">
        <v>33</v>
      </c>
      <c r="N91" s="4" t="str">
        <f>IF(I91=_xlfn.XLOOKUP(F91,Lists!$D$2:$D$13,Lists!$E$2:$E$13,"Not Found"),"OK","Check Price")</f>
        <v>Check Price</v>
      </c>
    </row>
    <row r="92" spans="1:14" ht="15.5" thickTop="1" thickBot="1" x14ac:dyDescent="0.4">
      <c r="A92" s="36" t="str">
        <f t="shared" si="2"/>
        <v>ORD0091</v>
      </c>
      <c r="B92" s="34">
        <v>45666</v>
      </c>
      <c r="C92" s="38" t="s">
        <v>61</v>
      </c>
      <c r="D92" s="38" t="s">
        <v>45</v>
      </c>
      <c r="E92" s="38" t="s">
        <v>119</v>
      </c>
      <c r="F92" s="38" t="s">
        <v>46</v>
      </c>
      <c r="G92" s="35" t="str">
        <f>_xlfn.XLOOKUP(F92,Lists!$J$2:$J$13,Lists!$K$2:$K$13,"Not Found")</f>
        <v>Furniture</v>
      </c>
      <c r="H92" s="38">
        <v>3</v>
      </c>
      <c r="I92" s="35">
        <f>_xlfn.XLOOKUP(F92,Lists!$D$2:$D$13,Lists!$E$2:$E$13,"Not Found")</f>
        <v>22000</v>
      </c>
      <c r="J92" s="48">
        <v>0.15</v>
      </c>
      <c r="K92" s="35">
        <f>H92*I92*(1-J92)</f>
        <v>56100</v>
      </c>
      <c r="L92" s="38" t="s">
        <v>50</v>
      </c>
      <c r="M92" s="38" t="s">
        <v>22</v>
      </c>
      <c r="N92" s="4" t="str">
        <f>IF(I92=_xlfn.XLOOKUP(F92,Lists!$D$2:$D$13,Lists!$E$2:$E$13,"Not Found"),"OK","Check Price")</f>
        <v>OK</v>
      </c>
    </row>
    <row r="93" spans="1:14" ht="15.5" hidden="1" thickTop="1" thickBot="1" x14ac:dyDescent="0.4">
      <c r="A93" s="36" t="str">
        <f t="shared" si="2"/>
        <v>ORD0092</v>
      </c>
      <c r="B93" s="34">
        <v>45312</v>
      </c>
      <c r="C93" s="37" t="s">
        <v>66</v>
      </c>
      <c r="D93" s="37" t="s">
        <v>54</v>
      </c>
      <c r="E93" s="37" t="s">
        <v>29</v>
      </c>
      <c r="F93" s="37" t="s">
        <v>36</v>
      </c>
      <c r="G93" s="37" t="s">
        <v>19</v>
      </c>
      <c r="H93" s="37">
        <v>2</v>
      </c>
      <c r="I93" s="37">
        <v>2500</v>
      </c>
      <c r="J93" s="37">
        <v>0.2</v>
      </c>
      <c r="K93" s="37">
        <f t="shared" si="3"/>
        <v>4000</v>
      </c>
      <c r="L93" s="37" t="s">
        <v>56</v>
      </c>
      <c r="M93" s="37" t="s">
        <v>27</v>
      </c>
      <c r="N93" s="4" t="str">
        <f>IF(I93=_xlfn.XLOOKUP(F93,Lists!$D$2:$D$13,Lists!$E$2:$E$13,"Not Found"),"OK","Check Price")</f>
        <v>OK</v>
      </c>
    </row>
    <row r="94" spans="1:14" ht="15.5" hidden="1" thickTop="1" thickBot="1" x14ac:dyDescent="0.4">
      <c r="A94" s="36" t="str">
        <f t="shared" si="2"/>
        <v>ORD0093</v>
      </c>
      <c r="B94" s="34">
        <v>45522</v>
      </c>
      <c r="C94" s="38" t="s">
        <v>78</v>
      </c>
      <c r="D94" s="38" t="s">
        <v>39</v>
      </c>
      <c r="E94" s="38" t="s">
        <v>35</v>
      </c>
      <c r="F94" s="38" t="s">
        <v>36</v>
      </c>
      <c r="G94" s="38" t="s">
        <v>19</v>
      </c>
      <c r="H94" s="38">
        <v>5</v>
      </c>
      <c r="I94" s="38">
        <v>4000</v>
      </c>
      <c r="J94" s="38">
        <v>0.2</v>
      </c>
      <c r="K94" s="38">
        <f t="shared" si="3"/>
        <v>16000</v>
      </c>
      <c r="L94" s="38" t="s">
        <v>21</v>
      </c>
      <c r="M94" s="38" t="s">
        <v>22</v>
      </c>
      <c r="N94" s="4" t="str">
        <f>IF(I94=_xlfn.XLOOKUP(F94,Lists!$D$2:$D$13,Lists!$E$2:$E$13,"Not Found"),"OK","Check Price")</f>
        <v>Check Price</v>
      </c>
    </row>
    <row r="95" spans="1:14" ht="15.5" hidden="1" thickTop="1" thickBot="1" x14ac:dyDescent="0.4">
      <c r="A95" s="36" t="str">
        <f t="shared" si="2"/>
        <v>ORD0094</v>
      </c>
      <c r="B95" s="34">
        <v>45561</v>
      </c>
      <c r="C95" s="37" t="s">
        <v>77</v>
      </c>
      <c r="D95" s="37" t="s">
        <v>54</v>
      </c>
      <c r="E95" s="37" t="s">
        <v>35</v>
      </c>
      <c r="F95" s="37" t="s">
        <v>31</v>
      </c>
      <c r="G95" s="37" t="s">
        <v>19</v>
      </c>
      <c r="H95" s="37">
        <v>7</v>
      </c>
      <c r="I95" s="37">
        <v>2500</v>
      </c>
      <c r="J95" s="37">
        <v>0.1</v>
      </c>
      <c r="K95" s="37">
        <f t="shared" si="3"/>
        <v>15750</v>
      </c>
      <c r="L95" s="37" t="s">
        <v>26</v>
      </c>
      <c r="M95" s="37" t="s">
        <v>22</v>
      </c>
      <c r="N95" s="4" t="str">
        <f>IF(I95=_xlfn.XLOOKUP(F95,Lists!$D$2:$D$13,Lists!$E$2:$E$13,"Not Found"),"OK","Check Price")</f>
        <v>Check Price</v>
      </c>
    </row>
    <row r="96" spans="1:14" ht="15.5" hidden="1" thickTop="1" thickBot="1" x14ac:dyDescent="0.4">
      <c r="A96" s="36" t="str">
        <f t="shared" si="2"/>
        <v>ORD0095</v>
      </c>
      <c r="B96" s="34">
        <v>45936</v>
      </c>
      <c r="C96" s="38" t="s">
        <v>77</v>
      </c>
      <c r="D96" s="38" t="s">
        <v>28</v>
      </c>
      <c r="E96" s="38" t="s">
        <v>35</v>
      </c>
      <c r="F96" s="38" t="s">
        <v>31</v>
      </c>
      <c r="G96" s="38" t="s">
        <v>24</v>
      </c>
      <c r="H96" s="38">
        <v>3</v>
      </c>
      <c r="I96" s="38">
        <v>85000</v>
      </c>
      <c r="J96" s="38">
        <v>0.2</v>
      </c>
      <c r="K96" s="38">
        <f t="shared" si="3"/>
        <v>204000</v>
      </c>
      <c r="L96" s="38" t="s">
        <v>41</v>
      </c>
      <c r="M96" s="38" t="s">
        <v>38</v>
      </c>
      <c r="N96" s="4" t="str">
        <f>IF(I96=_xlfn.XLOOKUP(F96,Lists!$D$2:$D$13,Lists!$E$2:$E$13,"Not Found"),"OK","Check Price")</f>
        <v>Check Price</v>
      </c>
    </row>
    <row r="97" spans="1:14" ht="15.5" hidden="1" thickTop="1" thickBot="1" x14ac:dyDescent="0.4">
      <c r="A97" s="36" t="str">
        <f t="shared" si="2"/>
        <v>ORD0096</v>
      </c>
      <c r="B97" s="34">
        <v>45976</v>
      </c>
      <c r="C97" s="37" t="s">
        <v>70</v>
      </c>
      <c r="D97" s="37" t="s">
        <v>39</v>
      </c>
      <c r="E97" s="37" t="s">
        <v>80</v>
      </c>
      <c r="F97" s="37" t="s">
        <v>57</v>
      </c>
      <c r="G97" s="37" t="s">
        <v>30</v>
      </c>
      <c r="H97" s="37">
        <v>6</v>
      </c>
      <c r="I97" s="37">
        <v>1500</v>
      </c>
      <c r="J97" s="37">
        <v>0.05</v>
      </c>
      <c r="K97" s="37">
        <f t="shared" si="3"/>
        <v>8550</v>
      </c>
      <c r="L97" s="37" t="s">
        <v>56</v>
      </c>
      <c r="M97" s="37" t="s">
        <v>33</v>
      </c>
      <c r="N97" s="4" t="str">
        <f>IF(I97=_xlfn.XLOOKUP(F97,Lists!$D$2:$D$13,Lists!$E$2:$E$13,"Not Found"),"OK","Check Price")</f>
        <v>Check Price</v>
      </c>
    </row>
    <row r="98" spans="1:14" ht="15.5" hidden="1" thickTop="1" thickBot="1" x14ac:dyDescent="0.4">
      <c r="A98" s="36" t="str">
        <f t="shared" si="2"/>
        <v>ORD0097</v>
      </c>
      <c r="B98" s="34">
        <v>45339</v>
      </c>
      <c r="C98" s="38" t="s">
        <v>76</v>
      </c>
      <c r="D98" s="38" t="s">
        <v>42</v>
      </c>
      <c r="E98" s="38" t="s">
        <v>80</v>
      </c>
      <c r="F98" s="38" t="s">
        <v>31</v>
      </c>
      <c r="G98" s="38" t="s">
        <v>24</v>
      </c>
      <c r="H98" s="38">
        <v>7</v>
      </c>
      <c r="I98" s="38">
        <v>30000</v>
      </c>
      <c r="J98" s="38">
        <v>0.1</v>
      </c>
      <c r="K98" s="38">
        <f t="shared" si="3"/>
        <v>189000</v>
      </c>
      <c r="L98" s="38" t="s">
        <v>37</v>
      </c>
      <c r="M98" s="38" t="s">
        <v>33</v>
      </c>
      <c r="N98" s="4" t="str">
        <f>IF(I98=_xlfn.XLOOKUP(F98,Lists!$D$2:$D$13,Lists!$E$2:$E$13,"Not Found"),"OK","Check Price")</f>
        <v>Check Price</v>
      </c>
    </row>
    <row r="99" spans="1:14" ht="15.5" hidden="1" thickTop="1" thickBot="1" x14ac:dyDescent="0.4">
      <c r="A99" s="36" t="str">
        <f t="shared" si="2"/>
        <v>ORD0098</v>
      </c>
      <c r="B99" s="34">
        <v>45683</v>
      </c>
      <c r="C99" s="37" t="s">
        <v>63</v>
      </c>
      <c r="D99" s="37" t="s">
        <v>54</v>
      </c>
      <c r="E99" s="37" t="s">
        <v>80</v>
      </c>
      <c r="F99" s="37" t="s">
        <v>49</v>
      </c>
      <c r="G99" s="37" t="s">
        <v>30</v>
      </c>
      <c r="H99" s="37">
        <v>9</v>
      </c>
      <c r="I99" s="37">
        <v>1200</v>
      </c>
      <c r="J99" s="37">
        <v>0.25</v>
      </c>
      <c r="K99" s="37">
        <f t="shared" si="3"/>
        <v>8100</v>
      </c>
      <c r="L99" s="37" t="s">
        <v>50</v>
      </c>
      <c r="M99" s="37" t="s">
        <v>27</v>
      </c>
      <c r="N99" s="4" t="str">
        <f>IF(I99=_xlfn.XLOOKUP(F99,Lists!$D$2:$D$13,Lists!$E$2:$E$13,"Not Found"),"OK","Check Price")</f>
        <v>Check Price</v>
      </c>
    </row>
    <row r="100" spans="1:14" ht="15.5" hidden="1" thickTop="1" thickBot="1" x14ac:dyDescent="0.4">
      <c r="A100" s="36" t="str">
        <f t="shared" si="2"/>
        <v>ORD0099</v>
      </c>
      <c r="B100" s="34">
        <v>45748</v>
      </c>
      <c r="C100" s="38" t="s">
        <v>62</v>
      </c>
      <c r="D100" s="38" t="s">
        <v>17</v>
      </c>
      <c r="E100" s="38" t="s">
        <v>29</v>
      </c>
      <c r="F100" s="38" t="s">
        <v>36</v>
      </c>
      <c r="G100" s="38" t="s">
        <v>24</v>
      </c>
      <c r="H100" s="38">
        <v>8</v>
      </c>
      <c r="I100" s="38">
        <v>4000</v>
      </c>
      <c r="J100" s="38">
        <v>0.15</v>
      </c>
      <c r="K100" s="38">
        <f t="shared" si="3"/>
        <v>27200</v>
      </c>
      <c r="L100" s="38" t="s">
        <v>47</v>
      </c>
      <c r="M100" s="38" t="s">
        <v>27</v>
      </c>
      <c r="N100" s="4" t="str">
        <f>IF(I100=_xlfn.XLOOKUP(F100,Lists!$D$2:$D$13,Lists!$E$2:$E$13,"Not Found"),"OK","Check Price")</f>
        <v>Check Price</v>
      </c>
    </row>
    <row r="101" spans="1:14" ht="15.5" hidden="1" thickTop="1" thickBot="1" x14ac:dyDescent="0.4">
      <c r="A101" s="36" t="str">
        <f t="shared" si="2"/>
        <v>ORD0100</v>
      </c>
      <c r="B101" s="34">
        <v>45695</v>
      </c>
      <c r="C101" s="37" t="s">
        <v>62</v>
      </c>
      <c r="D101" s="37" t="s">
        <v>17</v>
      </c>
      <c r="E101" s="37" t="s">
        <v>79</v>
      </c>
      <c r="F101" s="37" t="s">
        <v>40</v>
      </c>
      <c r="G101" s="37" t="s">
        <v>30</v>
      </c>
      <c r="H101" s="37">
        <v>10</v>
      </c>
      <c r="I101" s="37">
        <v>28000</v>
      </c>
      <c r="J101" s="37">
        <v>0.2</v>
      </c>
      <c r="K101" s="37">
        <f t="shared" si="3"/>
        <v>224000</v>
      </c>
      <c r="L101" s="37" t="s">
        <v>50</v>
      </c>
      <c r="M101" s="37" t="s">
        <v>27</v>
      </c>
      <c r="N101" s="4" t="str">
        <f>IF(I101=_xlfn.XLOOKUP(F101,Lists!$D$2:$D$13,Lists!$E$2:$E$13,"Not Found"),"OK","Check Price")</f>
        <v>OK</v>
      </c>
    </row>
    <row r="102" spans="1:14" ht="15.5" thickTop="1" thickBot="1" x14ac:dyDescent="0.4">
      <c r="A102" s="36" t="str">
        <f t="shared" si="2"/>
        <v>ORD0101</v>
      </c>
      <c r="B102" s="34">
        <v>45939</v>
      </c>
      <c r="C102" s="38" t="s">
        <v>68</v>
      </c>
      <c r="D102" s="38" t="s">
        <v>51</v>
      </c>
      <c r="E102" s="38" t="s">
        <v>35</v>
      </c>
      <c r="F102" s="38" t="s">
        <v>46</v>
      </c>
      <c r="G102" s="35" t="str">
        <f>_xlfn.XLOOKUP(F102,Lists!$J$2:$J$13,Lists!$K$2:$K$13,"Not Found")</f>
        <v>Furniture</v>
      </c>
      <c r="H102" s="38">
        <v>7</v>
      </c>
      <c r="I102" s="35">
        <f>_xlfn.XLOOKUP(F102,Lists!$D$2:$D$13,Lists!$E$2:$E$13,"Not Found")</f>
        <v>22000</v>
      </c>
      <c r="J102" s="48">
        <v>0.1</v>
      </c>
      <c r="K102" s="35">
        <f>H102*I102*(1-J102)</f>
        <v>138600</v>
      </c>
      <c r="L102" s="38" t="s">
        <v>32</v>
      </c>
      <c r="M102" s="38" t="s">
        <v>33</v>
      </c>
      <c r="N102" s="4" t="str">
        <f>IF(I102=_xlfn.XLOOKUP(F102,Lists!$D$2:$D$13,Lists!$E$2:$E$13,"Not Found"),"OK","Check Price")</f>
        <v>OK</v>
      </c>
    </row>
    <row r="103" spans="1:14" ht="15.5" hidden="1" thickTop="1" thickBot="1" x14ac:dyDescent="0.4">
      <c r="A103" s="36" t="str">
        <f t="shared" si="2"/>
        <v>ORD0102</v>
      </c>
      <c r="B103" s="34">
        <v>45809</v>
      </c>
      <c r="C103" s="37" t="s">
        <v>75</v>
      </c>
      <c r="D103" s="37" t="s">
        <v>17</v>
      </c>
      <c r="E103" s="37" t="s">
        <v>80</v>
      </c>
      <c r="F103" s="37" t="s">
        <v>25</v>
      </c>
      <c r="G103" s="37" t="s">
        <v>30</v>
      </c>
      <c r="H103" s="37">
        <v>10</v>
      </c>
      <c r="I103" s="37">
        <v>1500</v>
      </c>
      <c r="J103" s="37">
        <v>0.05</v>
      </c>
      <c r="K103" s="37">
        <f t="shared" si="3"/>
        <v>14250</v>
      </c>
      <c r="L103" s="37" t="s">
        <v>37</v>
      </c>
      <c r="M103" s="37" t="s">
        <v>33</v>
      </c>
      <c r="N103" s="4" t="str">
        <f>IF(I103=_xlfn.XLOOKUP(F103,Lists!$D$2:$D$13,Lists!$E$2:$E$13,"Not Found"),"OK","Check Price")</f>
        <v>Check Price</v>
      </c>
    </row>
    <row r="104" spans="1:14" ht="15.5" hidden="1" thickTop="1" thickBot="1" x14ac:dyDescent="0.4">
      <c r="A104" s="36" t="str">
        <f t="shared" si="2"/>
        <v>ORD0103</v>
      </c>
      <c r="B104" s="34">
        <v>45373</v>
      </c>
      <c r="C104" s="38" t="s">
        <v>76</v>
      </c>
      <c r="D104" s="38" t="s">
        <v>54</v>
      </c>
      <c r="E104" s="38" t="s">
        <v>35</v>
      </c>
      <c r="F104" s="38" t="s">
        <v>31</v>
      </c>
      <c r="G104" s="38" t="s">
        <v>19</v>
      </c>
      <c r="H104" s="38">
        <v>8</v>
      </c>
      <c r="I104" s="38">
        <v>350</v>
      </c>
      <c r="J104" s="38">
        <v>0.2</v>
      </c>
      <c r="K104" s="38">
        <f t="shared" si="3"/>
        <v>2240</v>
      </c>
      <c r="L104" s="38" t="s">
        <v>44</v>
      </c>
      <c r="M104" s="38" t="s">
        <v>22</v>
      </c>
      <c r="N104" s="4" t="str">
        <f>IF(I104=_xlfn.XLOOKUP(F104,Lists!$D$2:$D$13,Lists!$E$2:$E$13,"Not Found"),"OK","Check Price")</f>
        <v>Check Price</v>
      </c>
    </row>
    <row r="105" spans="1:14" ht="15.5" hidden="1" thickTop="1" thickBot="1" x14ac:dyDescent="0.4">
      <c r="A105" s="36" t="str">
        <f t="shared" si="2"/>
        <v>ORD0104</v>
      </c>
      <c r="B105" s="34">
        <v>45882</v>
      </c>
      <c r="C105" s="37" t="s">
        <v>63</v>
      </c>
      <c r="D105" s="37" t="s">
        <v>17</v>
      </c>
      <c r="E105" s="37" t="s">
        <v>35</v>
      </c>
      <c r="F105" s="37" t="s">
        <v>43</v>
      </c>
      <c r="G105" s="37" t="s">
        <v>30</v>
      </c>
      <c r="H105" s="37">
        <v>4</v>
      </c>
      <c r="I105" s="37">
        <v>4000</v>
      </c>
      <c r="J105" s="37">
        <v>0.1</v>
      </c>
      <c r="K105" s="37">
        <f t="shared" si="3"/>
        <v>14400</v>
      </c>
      <c r="L105" s="37" t="s">
        <v>56</v>
      </c>
      <c r="M105" s="37" t="s">
        <v>38</v>
      </c>
      <c r="N105" s="4" t="str">
        <f>IF(I105=_xlfn.XLOOKUP(F105,Lists!$D$2:$D$13,Lists!$E$2:$E$13,"Not Found"),"OK","Check Price")</f>
        <v>Check Price</v>
      </c>
    </row>
    <row r="106" spans="1:14" ht="15.5" hidden="1" thickTop="1" thickBot="1" x14ac:dyDescent="0.4">
      <c r="A106" s="36" t="str">
        <f t="shared" si="2"/>
        <v>ORD0105</v>
      </c>
      <c r="B106" s="34">
        <v>45851</v>
      </c>
      <c r="C106" s="38" t="s">
        <v>63</v>
      </c>
      <c r="D106" s="38" t="s">
        <v>54</v>
      </c>
      <c r="E106" s="38" t="s">
        <v>18</v>
      </c>
      <c r="F106" s="38" t="s">
        <v>31</v>
      </c>
      <c r="G106" s="38" t="s">
        <v>19</v>
      </c>
      <c r="H106" s="38">
        <v>6</v>
      </c>
      <c r="I106" s="38">
        <v>350</v>
      </c>
      <c r="J106" s="38">
        <v>0.05</v>
      </c>
      <c r="K106" s="38">
        <f t="shared" si="3"/>
        <v>1995</v>
      </c>
      <c r="L106" s="38" t="s">
        <v>41</v>
      </c>
      <c r="M106" s="38" t="s">
        <v>22</v>
      </c>
      <c r="N106" s="4" t="str">
        <f>IF(I106=_xlfn.XLOOKUP(F106,Lists!$D$2:$D$13,Lists!$E$2:$E$13,"Not Found"),"OK","Check Price")</f>
        <v>Check Price</v>
      </c>
    </row>
    <row r="107" spans="1:14" ht="15.5" hidden="1" thickTop="1" thickBot="1" x14ac:dyDescent="0.4">
      <c r="A107" s="36" t="str">
        <f t="shared" si="2"/>
        <v>ORD0106</v>
      </c>
      <c r="B107" s="34">
        <v>45943</v>
      </c>
      <c r="C107" s="37" t="s">
        <v>77</v>
      </c>
      <c r="D107" s="37" t="s">
        <v>34</v>
      </c>
      <c r="E107" s="37" t="s">
        <v>35</v>
      </c>
      <c r="F107" s="37" t="s">
        <v>40</v>
      </c>
      <c r="G107" s="37" t="s">
        <v>24</v>
      </c>
      <c r="H107" s="37">
        <v>9</v>
      </c>
      <c r="I107" s="37">
        <v>22000</v>
      </c>
      <c r="J107" s="37">
        <v>0.05</v>
      </c>
      <c r="K107" s="37">
        <f t="shared" si="3"/>
        <v>188100</v>
      </c>
      <c r="L107" s="37" t="s">
        <v>53</v>
      </c>
      <c r="M107" s="37" t="s">
        <v>33</v>
      </c>
      <c r="N107" s="4" t="str">
        <f>IF(I107=_xlfn.XLOOKUP(F107,Lists!$D$2:$D$13,Lists!$E$2:$E$13,"Not Found"),"OK","Check Price")</f>
        <v>Check Price</v>
      </c>
    </row>
    <row r="108" spans="1:14" ht="15.5" thickTop="1" thickBot="1" x14ac:dyDescent="0.4">
      <c r="A108" s="36" t="str">
        <f t="shared" si="2"/>
        <v>ORD0107</v>
      </c>
      <c r="B108" s="34">
        <v>45602</v>
      </c>
      <c r="C108" s="38" t="s">
        <v>78</v>
      </c>
      <c r="D108" s="38" t="s">
        <v>51</v>
      </c>
      <c r="E108" s="38" t="s">
        <v>29</v>
      </c>
      <c r="F108" s="38" t="s">
        <v>46</v>
      </c>
      <c r="G108" s="35" t="str">
        <f>_xlfn.XLOOKUP(F108,Lists!$J$2:$J$13,Lists!$K$2:$K$13,"Not Found")</f>
        <v>Furniture</v>
      </c>
      <c r="H108" s="38">
        <v>4</v>
      </c>
      <c r="I108" s="35">
        <f>_xlfn.XLOOKUP(F108,Lists!$D$2:$D$13,Lists!$E$2:$E$13,"Not Found")</f>
        <v>22000</v>
      </c>
      <c r="J108" s="48">
        <v>0.05</v>
      </c>
      <c r="K108" s="35">
        <f>H108*I108*(1-J108)</f>
        <v>83600</v>
      </c>
      <c r="L108" s="38" t="s">
        <v>47</v>
      </c>
      <c r="M108" s="38" t="s">
        <v>27</v>
      </c>
      <c r="N108" s="4" t="str">
        <f>IF(I108=_xlfn.XLOOKUP(F108,Lists!$D$2:$D$13,Lists!$E$2:$E$13,"Not Found"),"OK","Check Price")</f>
        <v>OK</v>
      </c>
    </row>
    <row r="109" spans="1:14" ht="15.5" hidden="1" thickTop="1" thickBot="1" x14ac:dyDescent="0.4">
      <c r="A109" s="36" t="str">
        <f t="shared" si="2"/>
        <v>ORD0108</v>
      </c>
      <c r="B109" s="34">
        <v>45473</v>
      </c>
      <c r="C109" s="37" t="s">
        <v>71</v>
      </c>
      <c r="D109" s="37" t="s">
        <v>17</v>
      </c>
      <c r="E109" s="37" t="s">
        <v>29</v>
      </c>
      <c r="F109" s="37" t="s">
        <v>43</v>
      </c>
      <c r="G109" s="37" t="s">
        <v>24</v>
      </c>
      <c r="H109" s="37">
        <v>5</v>
      </c>
      <c r="I109" s="37">
        <v>350</v>
      </c>
      <c r="J109" s="37">
        <v>0.05</v>
      </c>
      <c r="K109" s="37">
        <f t="shared" si="3"/>
        <v>1662.5</v>
      </c>
      <c r="L109" s="37" t="s">
        <v>32</v>
      </c>
      <c r="M109" s="37" t="s">
        <v>22</v>
      </c>
      <c r="N109" s="4" t="str">
        <f>IF(I109=_xlfn.XLOOKUP(F109,Lists!$D$2:$D$13,Lists!$E$2:$E$13,"Not Found"),"OK","Check Price")</f>
        <v>Check Price</v>
      </c>
    </row>
    <row r="110" spans="1:14" ht="15.5" hidden="1" thickTop="1" thickBot="1" x14ac:dyDescent="0.4">
      <c r="A110" s="36" t="str">
        <f t="shared" si="2"/>
        <v>ORD0109</v>
      </c>
      <c r="B110" s="34">
        <v>45796</v>
      </c>
      <c r="C110" s="38" t="s">
        <v>71</v>
      </c>
      <c r="D110" s="38" t="s">
        <v>54</v>
      </c>
      <c r="E110" s="38" t="s">
        <v>35</v>
      </c>
      <c r="F110" s="38" t="s">
        <v>43</v>
      </c>
      <c r="G110" s="38" t="s">
        <v>30</v>
      </c>
      <c r="H110" s="38">
        <v>10</v>
      </c>
      <c r="I110" s="38">
        <v>12000</v>
      </c>
      <c r="J110" s="38">
        <v>0.2</v>
      </c>
      <c r="K110" s="38">
        <f t="shared" si="3"/>
        <v>96000</v>
      </c>
      <c r="L110" s="38" t="s">
        <v>41</v>
      </c>
      <c r="M110" s="38" t="s">
        <v>22</v>
      </c>
      <c r="N110" s="4" t="str">
        <f>IF(I110=_xlfn.XLOOKUP(F110,Lists!$D$2:$D$13,Lists!$E$2:$E$13,"Not Found"),"OK","Check Price")</f>
        <v>OK</v>
      </c>
    </row>
    <row r="111" spans="1:14" ht="15.5" hidden="1" thickTop="1" thickBot="1" x14ac:dyDescent="0.4">
      <c r="A111" s="36" t="str">
        <f t="shared" si="2"/>
        <v>ORD0110</v>
      </c>
      <c r="B111" s="34">
        <v>45633</v>
      </c>
      <c r="C111" s="37" t="s">
        <v>71</v>
      </c>
      <c r="D111" s="37" t="s">
        <v>28</v>
      </c>
      <c r="E111" s="37" t="s">
        <v>79</v>
      </c>
      <c r="F111" s="37" t="s">
        <v>25</v>
      </c>
      <c r="G111" s="37" t="s">
        <v>19</v>
      </c>
      <c r="H111" s="37">
        <v>5</v>
      </c>
      <c r="I111" s="37">
        <v>2000</v>
      </c>
      <c r="J111" s="37">
        <v>0.1</v>
      </c>
      <c r="K111" s="37">
        <f t="shared" si="3"/>
        <v>9000</v>
      </c>
      <c r="L111" s="37" t="s">
        <v>37</v>
      </c>
      <c r="M111" s="37" t="s">
        <v>38</v>
      </c>
      <c r="N111" s="4" t="str">
        <f>IF(I111=_xlfn.XLOOKUP(F111,Lists!$D$2:$D$13,Lists!$E$2:$E$13,"Not Found"),"OK","Check Price")</f>
        <v>Check Price</v>
      </c>
    </row>
    <row r="112" spans="1:14" ht="15.5" hidden="1" thickTop="1" thickBot="1" x14ac:dyDescent="0.4">
      <c r="A112" s="36" t="str">
        <f t="shared" si="2"/>
        <v>ORD0111</v>
      </c>
      <c r="B112" s="34">
        <v>45952</v>
      </c>
      <c r="C112" s="38" t="s">
        <v>72</v>
      </c>
      <c r="D112" s="38" t="s">
        <v>23</v>
      </c>
      <c r="E112" s="38" t="s">
        <v>18</v>
      </c>
      <c r="F112" s="38" t="s">
        <v>36</v>
      </c>
      <c r="G112" s="38" t="s">
        <v>30</v>
      </c>
      <c r="H112" s="38">
        <v>2</v>
      </c>
      <c r="I112" s="38">
        <v>28000</v>
      </c>
      <c r="J112" s="38">
        <v>0.25</v>
      </c>
      <c r="K112" s="38">
        <f t="shared" si="3"/>
        <v>42000</v>
      </c>
      <c r="L112" s="38" t="s">
        <v>47</v>
      </c>
      <c r="M112" s="38" t="s">
        <v>27</v>
      </c>
      <c r="N112" s="4" t="str">
        <f>IF(I112=_xlfn.XLOOKUP(F112,Lists!$D$2:$D$13,Lists!$E$2:$E$13,"Not Found"),"OK","Check Price")</f>
        <v>Check Price</v>
      </c>
    </row>
    <row r="113" spans="1:14" ht="15.5" hidden="1" thickTop="1" thickBot="1" x14ac:dyDescent="0.4">
      <c r="A113" s="36" t="str">
        <f t="shared" si="2"/>
        <v>ORD0112</v>
      </c>
      <c r="B113" s="34">
        <v>45693</v>
      </c>
      <c r="C113" s="37" t="s">
        <v>67</v>
      </c>
      <c r="D113" s="37" t="s">
        <v>23</v>
      </c>
      <c r="E113" s="37" t="s">
        <v>80</v>
      </c>
      <c r="F113" s="37" t="s">
        <v>49</v>
      </c>
      <c r="G113" s="37" t="s">
        <v>24</v>
      </c>
      <c r="H113" s="37">
        <v>7</v>
      </c>
      <c r="I113" s="37">
        <v>5000</v>
      </c>
      <c r="J113" s="37">
        <v>0.1</v>
      </c>
      <c r="K113" s="37">
        <f t="shared" si="3"/>
        <v>31500</v>
      </c>
      <c r="L113" s="37" t="s">
        <v>37</v>
      </c>
      <c r="M113" s="37" t="s">
        <v>22</v>
      </c>
      <c r="N113" s="4" t="str">
        <f>IF(I113=_xlfn.XLOOKUP(F113,Lists!$D$2:$D$13,Lists!$E$2:$E$13,"Not Found"),"OK","Check Price")</f>
        <v>Check Price</v>
      </c>
    </row>
    <row r="114" spans="1:14" ht="15.5" hidden="1" thickTop="1" thickBot="1" x14ac:dyDescent="0.4">
      <c r="A114" s="36" t="str">
        <f t="shared" si="2"/>
        <v>ORD0113</v>
      </c>
      <c r="B114" s="34">
        <v>45901</v>
      </c>
      <c r="C114" s="38" t="s">
        <v>72</v>
      </c>
      <c r="D114" s="38" t="s">
        <v>45</v>
      </c>
      <c r="E114" s="38" t="s">
        <v>79</v>
      </c>
      <c r="F114" s="38" t="s">
        <v>58</v>
      </c>
      <c r="G114" s="38" t="s">
        <v>24</v>
      </c>
      <c r="H114" s="38">
        <v>3</v>
      </c>
      <c r="I114" s="38">
        <v>12000</v>
      </c>
      <c r="J114" s="38">
        <v>0.1</v>
      </c>
      <c r="K114" s="38">
        <f t="shared" si="3"/>
        <v>32400</v>
      </c>
      <c r="L114" s="38" t="s">
        <v>32</v>
      </c>
      <c r="M114" s="38" t="s">
        <v>38</v>
      </c>
      <c r="N114" s="4" t="str">
        <f>IF(I114=_xlfn.XLOOKUP(F114,Lists!$D$2:$D$13,Lists!$E$2:$E$13,"Not Found"),"OK","Check Price")</f>
        <v>Check Price</v>
      </c>
    </row>
    <row r="115" spans="1:14" ht="15.5" hidden="1" thickTop="1" thickBot="1" x14ac:dyDescent="0.4">
      <c r="A115" s="36" t="str">
        <f t="shared" si="2"/>
        <v>ORD0114</v>
      </c>
      <c r="B115" s="34">
        <v>46007</v>
      </c>
      <c r="C115" s="37" t="s">
        <v>60</v>
      </c>
      <c r="D115" s="37" t="s">
        <v>23</v>
      </c>
      <c r="E115" s="37" t="s">
        <v>80</v>
      </c>
      <c r="F115" s="37" t="s">
        <v>52</v>
      </c>
      <c r="G115" s="37" t="s">
        <v>24</v>
      </c>
      <c r="H115" s="37">
        <v>4</v>
      </c>
      <c r="I115" s="37">
        <v>2500</v>
      </c>
      <c r="J115" s="37">
        <v>0.2</v>
      </c>
      <c r="K115" s="37">
        <f t="shared" si="3"/>
        <v>8000</v>
      </c>
      <c r="L115" s="37" t="s">
        <v>50</v>
      </c>
      <c r="M115" s="37" t="s">
        <v>22</v>
      </c>
      <c r="N115" s="4" t="str">
        <f>IF(I115=_xlfn.XLOOKUP(F115,Lists!$D$2:$D$13,Lists!$E$2:$E$13,"Not Found"),"OK","Check Price")</f>
        <v>Check Price</v>
      </c>
    </row>
    <row r="116" spans="1:14" ht="15.5" hidden="1" thickTop="1" thickBot="1" x14ac:dyDescent="0.4">
      <c r="A116" s="36" t="str">
        <f t="shared" si="2"/>
        <v>ORD0115</v>
      </c>
      <c r="B116" s="34">
        <v>45720</v>
      </c>
      <c r="C116" s="38" t="s">
        <v>77</v>
      </c>
      <c r="D116" s="38" t="s">
        <v>23</v>
      </c>
      <c r="E116" s="38" t="s">
        <v>80</v>
      </c>
      <c r="F116" s="38" t="s">
        <v>36</v>
      </c>
      <c r="G116" s="38" t="s">
        <v>30</v>
      </c>
      <c r="H116" s="38">
        <v>8</v>
      </c>
      <c r="I116" s="38">
        <v>2000</v>
      </c>
      <c r="J116" s="38">
        <v>0.25</v>
      </c>
      <c r="K116" s="38">
        <f t="shared" si="3"/>
        <v>12000</v>
      </c>
      <c r="L116" s="38" t="s">
        <v>44</v>
      </c>
      <c r="M116" s="38" t="s">
        <v>22</v>
      </c>
      <c r="N116" s="4" t="str">
        <f>IF(I116=_xlfn.XLOOKUP(F116,Lists!$D$2:$D$13,Lists!$E$2:$E$13,"Not Found"),"OK","Check Price")</f>
        <v>Check Price</v>
      </c>
    </row>
    <row r="117" spans="1:14" ht="15.5" hidden="1" thickTop="1" thickBot="1" x14ac:dyDescent="0.4">
      <c r="A117" s="36" t="str">
        <f t="shared" si="2"/>
        <v>ORD0116</v>
      </c>
      <c r="B117" s="34">
        <v>45370</v>
      </c>
      <c r="C117" s="37" t="s">
        <v>73</v>
      </c>
      <c r="D117" s="37" t="s">
        <v>51</v>
      </c>
      <c r="E117" s="37" t="s">
        <v>79</v>
      </c>
      <c r="F117" s="37" t="s">
        <v>36</v>
      </c>
      <c r="G117" s="37" t="s">
        <v>19</v>
      </c>
      <c r="H117" s="37">
        <v>7</v>
      </c>
      <c r="I117" s="37">
        <v>22000</v>
      </c>
      <c r="J117" s="37">
        <v>0.15</v>
      </c>
      <c r="K117" s="37">
        <f t="shared" si="3"/>
        <v>130900</v>
      </c>
      <c r="L117" s="37" t="s">
        <v>26</v>
      </c>
      <c r="M117" s="37" t="s">
        <v>22</v>
      </c>
      <c r="N117" s="4" t="str">
        <f>IF(I117=_xlfn.XLOOKUP(F117,Lists!$D$2:$D$13,Lists!$E$2:$E$13,"Not Found"),"OK","Check Price")</f>
        <v>Check Price</v>
      </c>
    </row>
    <row r="118" spans="1:14" ht="15.5" hidden="1" thickTop="1" thickBot="1" x14ac:dyDescent="0.4">
      <c r="A118" s="36" t="str">
        <f t="shared" si="2"/>
        <v>ORD0117</v>
      </c>
      <c r="B118" s="34">
        <v>45520</v>
      </c>
      <c r="C118" s="38" t="s">
        <v>77</v>
      </c>
      <c r="D118" s="38" t="s">
        <v>51</v>
      </c>
      <c r="E118" s="38" t="s">
        <v>80</v>
      </c>
      <c r="F118" s="38" t="s">
        <v>36</v>
      </c>
      <c r="G118" s="38" t="s">
        <v>24</v>
      </c>
      <c r="H118" s="38">
        <v>9</v>
      </c>
      <c r="I118" s="38">
        <v>350</v>
      </c>
      <c r="J118" s="38">
        <v>0.15</v>
      </c>
      <c r="K118" s="38">
        <f t="shared" si="3"/>
        <v>2677.5</v>
      </c>
      <c r="L118" s="38" t="s">
        <v>53</v>
      </c>
      <c r="M118" s="38" t="s">
        <v>33</v>
      </c>
      <c r="N118" s="4" t="str">
        <f>IF(I118=_xlfn.XLOOKUP(F118,Lists!$D$2:$D$13,Lists!$E$2:$E$13,"Not Found"),"OK","Check Price")</f>
        <v>Check Price</v>
      </c>
    </row>
    <row r="119" spans="1:14" ht="15.5" thickTop="1" thickBot="1" x14ac:dyDescent="0.4">
      <c r="A119" s="36" t="str">
        <f t="shared" si="2"/>
        <v>ORD0118</v>
      </c>
      <c r="B119" s="34">
        <v>45508</v>
      </c>
      <c r="C119" s="37" t="s">
        <v>64</v>
      </c>
      <c r="D119" s="37" t="s">
        <v>23</v>
      </c>
      <c r="E119" s="37" t="s">
        <v>18</v>
      </c>
      <c r="F119" s="37" t="s">
        <v>20</v>
      </c>
      <c r="G119" s="35" t="str">
        <f>_xlfn.XLOOKUP(F119,Lists!$J$2:$J$13,Lists!$K$2:$K$13,"Not Found")</f>
        <v>Electronics</v>
      </c>
      <c r="H119" s="37">
        <v>3</v>
      </c>
      <c r="I119" s="35">
        <f>_xlfn.XLOOKUP(F119,Lists!$D$2:$D$13,Lists!$E$2:$E$13,"Not Found")</f>
        <v>85000</v>
      </c>
      <c r="J119" s="47">
        <v>0.05</v>
      </c>
      <c r="K119" s="35">
        <f t="shared" si="3"/>
        <v>242250</v>
      </c>
      <c r="L119" s="37" t="s">
        <v>50</v>
      </c>
      <c r="M119" s="37" t="s">
        <v>22</v>
      </c>
      <c r="N119" s="4" t="str">
        <f>IF(I119=_xlfn.XLOOKUP(F119,Lists!$D$2:$D$13,Lists!$E$2:$E$13,"Not Found"),"OK","Check Price")</f>
        <v>OK</v>
      </c>
    </row>
    <row r="120" spans="1:14" ht="15.5" thickTop="1" thickBot="1" x14ac:dyDescent="0.4">
      <c r="A120" s="36" t="str">
        <f t="shared" si="2"/>
        <v>ORD0119</v>
      </c>
      <c r="B120" s="34">
        <v>45709</v>
      </c>
      <c r="C120" s="38" t="s">
        <v>77</v>
      </c>
      <c r="D120" s="38" t="s">
        <v>34</v>
      </c>
      <c r="E120" s="38" t="s">
        <v>80</v>
      </c>
      <c r="F120" s="38" t="s">
        <v>46</v>
      </c>
      <c r="G120" s="35" t="str">
        <f>_xlfn.XLOOKUP(F120,Lists!$J$2:$J$13,Lists!$K$2:$K$13,"Not Found")</f>
        <v>Furniture</v>
      </c>
      <c r="H120" s="38">
        <v>8</v>
      </c>
      <c r="I120" s="35">
        <f>_xlfn.XLOOKUP(F120,Lists!$D$2:$D$13,Lists!$E$2:$E$13,"Not Found")</f>
        <v>22000</v>
      </c>
      <c r="J120" s="48">
        <v>0.05</v>
      </c>
      <c r="K120" s="35">
        <f t="shared" si="3"/>
        <v>167200</v>
      </c>
      <c r="L120" s="38" t="s">
        <v>32</v>
      </c>
      <c r="M120" s="38" t="s">
        <v>22</v>
      </c>
      <c r="N120" s="4" t="str">
        <f>IF(I120=_xlfn.XLOOKUP(F120,Lists!$D$2:$D$13,Lists!$E$2:$E$13,"Not Found"),"OK","Check Price")</f>
        <v>OK</v>
      </c>
    </row>
    <row r="121" spans="1:14" ht="15.5" hidden="1" thickTop="1" thickBot="1" x14ac:dyDescent="0.4">
      <c r="A121" s="36" t="str">
        <f t="shared" si="2"/>
        <v>ORD0120</v>
      </c>
      <c r="B121" s="34">
        <v>45455</v>
      </c>
      <c r="C121" s="37" t="s">
        <v>62</v>
      </c>
      <c r="D121" s="37" t="s">
        <v>45</v>
      </c>
      <c r="E121" s="37" t="s">
        <v>79</v>
      </c>
      <c r="F121" s="37" t="s">
        <v>43</v>
      </c>
      <c r="G121" s="37" t="s">
        <v>24</v>
      </c>
      <c r="H121" s="37">
        <v>6</v>
      </c>
      <c r="I121" s="37">
        <v>12000</v>
      </c>
      <c r="J121" s="37">
        <v>0.1</v>
      </c>
      <c r="K121" s="37">
        <f t="shared" si="3"/>
        <v>64800</v>
      </c>
      <c r="L121" s="37" t="s">
        <v>37</v>
      </c>
      <c r="M121" s="37" t="s">
        <v>38</v>
      </c>
      <c r="N121" s="4" t="str">
        <f>IF(I121=_xlfn.XLOOKUP(F121,Lists!$D$2:$D$13,Lists!$E$2:$E$13,"Not Found"),"OK","Check Price")</f>
        <v>OK</v>
      </c>
    </row>
    <row r="122" spans="1:14" ht="15.5" thickTop="1" thickBot="1" x14ac:dyDescent="0.4">
      <c r="A122" s="36" t="str">
        <f t="shared" si="2"/>
        <v>ORD0121</v>
      </c>
      <c r="B122" s="34">
        <v>45753</v>
      </c>
      <c r="C122" s="38" t="s">
        <v>76</v>
      </c>
      <c r="D122" s="38" t="s">
        <v>54</v>
      </c>
      <c r="E122" s="38" t="s">
        <v>29</v>
      </c>
      <c r="F122" s="38" t="s">
        <v>20</v>
      </c>
      <c r="G122" s="35" t="str">
        <f>_xlfn.XLOOKUP(F122,Lists!$J$2:$J$13,Lists!$K$2:$K$13,"Not Found")</f>
        <v>Electronics</v>
      </c>
      <c r="H122" s="38">
        <v>5</v>
      </c>
      <c r="I122" s="35">
        <f>_xlfn.XLOOKUP(F122,Lists!$D$2:$D$13,Lists!$E$2:$E$13,"Not Found")</f>
        <v>85000</v>
      </c>
      <c r="J122" s="48">
        <v>0.2</v>
      </c>
      <c r="K122" s="35">
        <f>H122*I122*(1-J122)</f>
        <v>340000</v>
      </c>
      <c r="L122" s="38" t="s">
        <v>50</v>
      </c>
      <c r="M122" s="38" t="s">
        <v>27</v>
      </c>
      <c r="N122" s="4" t="str">
        <f>IF(I122=_xlfn.XLOOKUP(F122,Lists!$D$2:$D$13,Lists!$E$2:$E$13,"Not Found"),"OK","Check Price")</f>
        <v>OK</v>
      </c>
    </row>
    <row r="123" spans="1:14" ht="15.5" hidden="1" thickTop="1" thickBot="1" x14ac:dyDescent="0.4">
      <c r="A123" s="36" t="str">
        <f t="shared" si="2"/>
        <v>ORD0122</v>
      </c>
      <c r="B123" s="34">
        <v>45533</v>
      </c>
      <c r="C123" s="37" t="s">
        <v>60</v>
      </c>
      <c r="D123" s="37" t="s">
        <v>39</v>
      </c>
      <c r="E123" s="37" t="s">
        <v>79</v>
      </c>
      <c r="F123" s="37" t="s">
        <v>49</v>
      </c>
      <c r="G123" s="37" t="s">
        <v>24</v>
      </c>
      <c r="H123" s="37">
        <v>2</v>
      </c>
      <c r="I123" s="37">
        <v>350</v>
      </c>
      <c r="J123" s="37">
        <v>0.05</v>
      </c>
      <c r="K123" s="37">
        <f t="shared" si="3"/>
        <v>665</v>
      </c>
      <c r="L123" s="37" t="s">
        <v>21</v>
      </c>
      <c r="M123" s="37" t="s">
        <v>38</v>
      </c>
      <c r="N123" s="4" t="str">
        <f>IF(I123=_xlfn.XLOOKUP(F123,Lists!$D$2:$D$13,Lists!$E$2:$E$13,"Not Found"),"OK","Check Price")</f>
        <v>OK</v>
      </c>
    </row>
    <row r="124" spans="1:14" ht="15.5" hidden="1" thickTop="1" thickBot="1" x14ac:dyDescent="0.4">
      <c r="A124" s="36" t="str">
        <f t="shared" si="2"/>
        <v>ORD0123</v>
      </c>
      <c r="B124" s="34">
        <v>45320</v>
      </c>
      <c r="C124" s="38" t="s">
        <v>70</v>
      </c>
      <c r="D124" s="38" t="s">
        <v>17</v>
      </c>
      <c r="E124" s="38" t="s">
        <v>35</v>
      </c>
      <c r="F124" s="38" t="s">
        <v>57</v>
      </c>
      <c r="G124" s="38" t="s">
        <v>30</v>
      </c>
      <c r="H124" s="38">
        <v>3</v>
      </c>
      <c r="I124" s="38">
        <v>28000</v>
      </c>
      <c r="J124" s="38">
        <v>0.2</v>
      </c>
      <c r="K124" s="38">
        <f t="shared" si="3"/>
        <v>67200</v>
      </c>
      <c r="L124" s="38" t="s">
        <v>50</v>
      </c>
      <c r="M124" s="38" t="s">
        <v>38</v>
      </c>
      <c r="N124" s="4" t="str">
        <f>IF(I124=_xlfn.XLOOKUP(F124,Lists!$D$2:$D$13,Lists!$E$2:$E$13,"Not Found"),"OK","Check Price")</f>
        <v>Check Price</v>
      </c>
    </row>
    <row r="125" spans="1:14" ht="15.5" thickTop="1" thickBot="1" x14ac:dyDescent="0.4">
      <c r="A125" s="36" t="str">
        <f t="shared" si="2"/>
        <v>ORD0124</v>
      </c>
      <c r="B125" s="34">
        <v>45653</v>
      </c>
      <c r="C125" s="37" t="s">
        <v>75</v>
      </c>
      <c r="D125" s="37" t="s">
        <v>48</v>
      </c>
      <c r="E125" s="37" t="s">
        <v>119</v>
      </c>
      <c r="F125" s="37" t="s">
        <v>46</v>
      </c>
      <c r="G125" s="35" t="str">
        <f>_xlfn.XLOOKUP(F125,Lists!$J$2:$J$13,Lists!$K$2:$K$13,"Not Found")</f>
        <v>Furniture</v>
      </c>
      <c r="H125" s="37">
        <v>7</v>
      </c>
      <c r="I125" s="35">
        <f>_xlfn.XLOOKUP(F125,Lists!$D$2:$D$13,Lists!$E$2:$E$13,"Not Found")</f>
        <v>22000</v>
      </c>
      <c r="J125" s="47">
        <v>0.25</v>
      </c>
      <c r="K125" s="35">
        <f t="shared" si="3"/>
        <v>115500</v>
      </c>
      <c r="L125" s="37" t="s">
        <v>50</v>
      </c>
      <c r="M125" s="37" t="s">
        <v>38</v>
      </c>
      <c r="N125" s="4" t="str">
        <f>IF(I125=_xlfn.XLOOKUP(F125,Lists!$D$2:$D$13,Lists!$E$2:$E$13,"Not Found"),"OK","Check Price")</f>
        <v>OK</v>
      </c>
    </row>
    <row r="126" spans="1:14" ht="15.5" thickTop="1" thickBot="1" x14ac:dyDescent="0.4">
      <c r="A126" s="36" t="str">
        <f t="shared" si="2"/>
        <v>ORD0125</v>
      </c>
      <c r="B126" s="34">
        <v>45632</v>
      </c>
      <c r="C126" s="38" t="s">
        <v>70</v>
      </c>
      <c r="D126" s="38" t="s">
        <v>34</v>
      </c>
      <c r="E126" s="38" t="s">
        <v>80</v>
      </c>
      <c r="F126" s="38" t="s">
        <v>20</v>
      </c>
      <c r="G126" s="35" t="str">
        <f>_xlfn.XLOOKUP(F126,Lists!$J$2:$J$13,Lists!$K$2:$K$13,"Not Found")</f>
        <v>Electronics</v>
      </c>
      <c r="H126" s="38">
        <v>4</v>
      </c>
      <c r="I126" s="35">
        <f>_xlfn.XLOOKUP(F126,Lists!$D$2:$D$13,Lists!$E$2:$E$13,"Not Found")</f>
        <v>85000</v>
      </c>
      <c r="J126" s="48">
        <v>0.25</v>
      </c>
      <c r="K126" s="35">
        <f t="shared" si="3"/>
        <v>255000</v>
      </c>
      <c r="L126" s="38" t="s">
        <v>56</v>
      </c>
      <c r="M126" s="38" t="s">
        <v>22</v>
      </c>
      <c r="N126" s="4" t="str">
        <f>IF(I126=_xlfn.XLOOKUP(F126,Lists!$D$2:$D$13,Lists!$E$2:$E$13,"Not Found"),"OK","Check Price")</f>
        <v>OK</v>
      </c>
    </row>
    <row r="127" spans="1:14" ht="15.5" hidden="1" thickTop="1" thickBot="1" x14ac:dyDescent="0.4">
      <c r="A127" s="36" t="str">
        <f t="shared" si="2"/>
        <v>ORD0126</v>
      </c>
      <c r="B127" s="34">
        <v>45557</v>
      </c>
      <c r="C127" s="37" t="s">
        <v>67</v>
      </c>
      <c r="D127" s="37" t="s">
        <v>51</v>
      </c>
      <c r="E127" s="37" t="s">
        <v>29</v>
      </c>
      <c r="F127" s="37" t="s">
        <v>36</v>
      </c>
      <c r="G127" s="37" t="s">
        <v>19</v>
      </c>
      <c r="H127" s="37">
        <v>3</v>
      </c>
      <c r="I127" s="37">
        <v>5000</v>
      </c>
      <c r="J127" s="37">
        <v>0.2</v>
      </c>
      <c r="K127" s="37">
        <f t="shared" si="3"/>
        <v>12000</v>
      </c>
      <c r="L127" s="37" t="s">
        <v>21</v>
      </c>
      <c r="M127" s="37" t="s">
        <v>22</v>
      </c>
      <c r="N127" s="4" t="str">
        <f>IF(I127=_xlfn.XLOOKUP(F127,Lists!$D$2:$D$13,Lists!$E$2:$E$13,"Not Found"),"OK","Check Price")</f>
        <v>Check Price</v>
      </c>
    </row>
    <row r="128" spans="1:14" ht="15.5" hidden="1" thickTop="1" thickBot="1" x14ac:dyDescent="0.4">
      <c r="A128" s="36" t="str">
        <f t="shared" si="2"/>
        <v>ORD0127</v>
      </c>
      <c r="B128" s="34">
        <v>45352</v>
      </c>
      <c r="C128" s="38" t="s">
        <v>67</v>
      </c>
      <c r="D128" s="38" t="s">
        <v>54</v>
      </c>
      <c r="E128" s="38" t="s">
        <v>79</v>
      </c>
      <c r="F128" s="38" t="s">
        <v>43</v>
      </c>
      <c r="G128" s="38" t="s">
        <v>19</v>
      </c>
      <c r="H128" s="38">
        <v>4</v>
      </c>
      <c r="I128" s="38">
        <v>12000</v>
      </c>
      <c r="J128" s="38">
        <v>0.2</v>
      </c>
      <c r="K128" s="38">
        <f t="shared" si="3"/>
        <v>38400</v>
      </c>
      <c r="L128" s="38" t="s">
        <v>37</v>
      </c>
      <c r="M128" s="38" t="s">
        <v>22</v>
      </c>
      <c r="N128" s="4" t="str">
        <f>IF(I128=_xlfn.XLOOKUP(F128,Lists!$D$2:$D$13,Lists!$E$2:$E$13,"Not Found"),"OK","Check Price")</f>
        <v>OK</v>
      </c>
    </row>
    <row r="129" spans="1:14" ht="15.5" hidden="1" thickTop="1" thickBot="1" x14ac:dyDescent="0.4">
      <c r="A129" s="36" t="str">
        <f t="shared" si="2"/>
        <v>ORD0128</v>
      </c>
      <c r="B129" s="34">
        <v>45638</v>
      </c>
      <c r="C129" s="37" t="s">
        <v>67</v>
      </c>
      <c r="D129" s="37" t="s">
        <v>54</v>
      </c>
      <c r="E129" s="37" t="s">
        <v>29</v>
      </c>
      <c r="F129" s="37" t="s">
        <v>58</v>
      </c>
      <c r="G129" s="37" t="s">
        <v>30</v>
      </c>
      <c r="H129" s="37">
        <v>5</v>
      </c>
      <c r="I129" s="37">
        <v>350</v>
      </c>
      <c r="J129" s="37">
        <v>0.25</v>
      </c>
      <c r="K129" s="37">
        <f t="shared" si="3"/>
        <v>1312.5</v>
      </c>
      <c r="L129" s="37" t="s">
        <v>26</v>
      </c>
      <c r="M129" s="37" t="s">
        <v>38</v>
      </c>
      <c r="N129" s="4" t="str">
        <f>IF(I129=_xlfn.XLOOKUP(F129,Lists!$D$2:$D$13,Lists!$E$2:$E$13,"Not Found"),"OK","Check Price")</f>
        <v>Check Price</v>
      </c>
    </row>
    <row r="130" spans="1:14" ht="15.5" hidden="1" thickTop="1" thickBot="1" x14ac:dyDescent="0.4">
      <c r="A130" s="36" t="str">
        <f t="shared" si="2"/>
        <v>ORD0129</v>
      </c>
      <c r="B130" s="34">
        <v>45358</v>
      </c>
      <c r="C130" s="38" t="s">
        <v>78</v>
      </c>
      <c r="D130" s="38" t="s">
        <v>54</v>
      </c>
      <c r="E130" s="38" t="s">
        <v>80</v>
      </c>
      <c r="F130" s="38" t="s">
        <v>52</v>
      </c>
      <c r="G130" s="38" t="s">
        <v>30</v>
      </c>
      <c r="H130" s="38">
        <v>9</v>
      </c>
      <c r="I130" s="38">
        <v>1200</v>
      </c>
      <c r="J130" s="38">
        <v>0.05</v>
      </c>
      <c r="K130" s="38">
        <f t="shared" si="3"/>
        <v>10260</v>
      </c>
      <c r="L130" s="38" t="s">
        <v>44</v>
      </c>
      <c r="M130" s="38" t="s">
        <v>33</v>
      </c>
      <c r="N130" s="4" t="str">
        <f>IF(I130=_xlfn.XLOOKUP(F130,Lists!$D$2:$D$13,Lists!$E$2:$E$13,"Not Found"),"OK","Check Price")</f>
        <v>OK</v>
      </c>
    </row>
    <row r="131" spans="1:14" ht="15.5" hidden="1" thickTop="1" thickBot="1" x14ac:dyDescent="0.4">
      <c r="A131" s="36" t="str">
        <f t="shared" ref="A131:A194" si="4">"ORD"&amp;TEXT(ROW()-1,"0000")</f>
        <v>ORD0130</v>
      </c>
      <c r="B131" s="34">
        <v>45964</v>
      </c>
      <c r="C131" s="37" t="s">
        <v>77</v>
      </c>
      <c r="D131" s="37" t="s">
        <v>51</v>
      </c>
      <c r="E131" s="37" t="s">
        <v>29</v>
      </c>
      <c r="F131" s="37" t="s">
        <v>40</v>
      </c>
      <c r="G131" s="37" t="s">
        <v>24</v>
      </c>
      <c r="H131" s="37">
        <v>8</v>
      </c>
      <c r="I131" s="37">
        <v>1200</v>
      </c>
      <c r="J131" s="37">
        <v>0.1</v>
      </c>
      <c r="K131" s="37">
        <f t="shared" ref="K131:K194" si="5">H131*I131*(1-J131)</f>
        <v>8640</v>
      </c>
      <c r="L131" s="37" t="s">
        <v>44</v>
      </c>
      <c r="M131" s="37" t="s">
        <v>27</v>
      </c>
      <c r="N131" s="4" t="str">
        <f>IF(I131=_xlfn.XLOOKUP(F131,Lists!$D$2:$D$13,Lists!$E$2:$E$13,"Not Found"),"OK","Check Price")</f>
        <v>Check Price</v>
      </c>
    </row>
    <row r="132" spans="1:14" ht="15.5" hidden="1" thickTop="1" thickBot="1" x14ac:dyDescent="0.4">
      <c r="A132" s="36" t="str">
        <f t="shared" si="4"/>
        <v>ORD0131</v>
      </c>
      <c r="B132" s="34">
        <v>45487</v>
      </c>
      <c r="C132" s="38" t="s">
        <v>70</v>
      </c>
      <c r="D132" s="38" t="s">
        <v>42</v>
      </c>
      <c r="E132" s="38" t="s">
        <v>119</v>
      </c>
      <c r="F132" s="38" t="s">
        <v>43</v>
      </c>
      <c r="G132" s="38" t="s">
        <v>30</v>
      </c>
      <c r="H132" s="38">
        <v>10</v>
      </c>
      <c r="I132" s="38">
        <v>2500</v>
      </c>
      <c r="J132" s="38">
        <v>0.25</v>
      </c>
      <c r="K132" s="38">
        <f t="shared" si="5"/>
        <v>18750</v>
      </c>
      <c r="L132" s="38" t="s">
        <v>21</v>
      </c>
      <c r="M132" s="38" t="s">
        <v>38</v>
      </c>
      <c r="N132" s="4" t="str">
        <f>IF(I132=_xlfn.XLOOKUP(F132,Lists!$D$2:$D$13,Lists!$E$2:$E$13,"Not Found"),"OK","Check Price")</f>
        <v>Check Price</v>
      </c>
    </row>
    <row r="133" spans="1:14" ht="15.5" hidden="1" thickTop="1" thickBot="1" x14ac:dyDescent="0.4">
      <c r="A133" s="36" t="str">
        <f t="shared" si="4"/>
        <v>ORD0132</v>
      </c>
      <c r="B133" s="34">
        <v>45434</v>
      </c>
      <c r="C133" s="37" t="s">
        <v>73</v>
      </c>
      <c r="D133" s="37" t="s">
        <v>23</v>
      </c>
      <c r="E133" s="37" t="s">
        <v>29</v>
      </c>
      <c r="F133" s="37" t="s">
        <v>58</v>
      </c>
      <c r="G133" s="37" t="s">
        <v>30</v>
      </c>
      <c r="H133" s="37">
        <v>3</v>
      </c>
      <c r="I133" s="37">
        <v>350</v>
      </c>
      <c r="J133" s="37">
        <v>0.05</v>
      </c>
      <c r="K133" s="37">
        <f t="shared" si="5"/>
        <v>997.5</v>
      </c>
      <c r="L133" s="37" t="s">
        <v>26</v>
      </c>
      <c r="M133" s="37" t="s">
        <v>22</v>
      </c>
      <c r="N133" s="4" t="str">
        <f>IF(I133=_xlfn.XLOOKUP(F133,Lists!$D$2:$D$13,Lists!$E$2:$E$13,"Not Found"),"OK","Check Price")</f>
        <v>Check Price</v>
      </c>
    </row>
    <row r="134" spans="1:14" ht="15.5" hidden="1" thickTop="1" thickBot="1" x14ac:dyDescent="0.4">
      <c r="A134" s="36" t="str">
        <f t="shared" si="4"/>
        <v>ORD0133</v>
      </c>
      <c r="B134" s="34">
        <v>46009</v>
      </c>
      <c r="C134" s="38" t="s">
        <v>75</v>
      </c>
      <c r="D134" s="38" t="s">
        <v>42</v>
      </c>
      <c r="E134" s="38" t="s">
        <v>79</v>
      </c>
      <c r="F134" s="38" t="s">
        <v>25</v>
      </c>
      <c r="G134" s="38" t="s">
        <v>19</v>
      </c>
      <c r="H134" s="38">
        <v>6</v>
      </c>
      <c r="I134" s="38">
        <v>4000</v>
      </c>
      <c r="J134" s="38">
        <v>0.1</v>
      </c>
      <c r="K134" s="38">
        <f t="shared" si="5"/>
        <v>21600</v>
      </c>
      <c r="L134" s="38" t="s">
        <v>41</v>
      </c>
      <c r="M134" s="38" t="s">
        <v>33</v>
      </c>
      <c r="N134" s="4" t="str">
        <f>IF(I134=_xlfn.XLOOKUP(F134,Lists!$D$2:$D$13,Lists!$E$2:$E$13,"Not Found"),"OK","Check Price")</f>
        <v>Check Price</v>
      </c>
    </row>
    <row r="135" spans="1:14" ht="15.5" hidden="1" thickTop="1" thickBot="1" x14ac:dyDescent="0.4">
      <c r="A135" s="36" t="str">
        <f t="shared" si="4"/>
        <v>ORD0134</v>
      </c>
      <c r="B135" s="34">
        <v>45299</v>
      </c>
      <c r="C135" s="37" t="s">
        <v>78</v>
      </c>
      <c r="D135" s="37" t="s">
        <v>23</v>
      </c>
      <c r="E135" s="37" t="s">
        <v>80</v>
      </c>
      <c r="F135" s="37" t="s">
        <v>52</v>
      </c>
      <c r="G135" s="37" t="s">
        <v>30</v>
      </c>
      <c r="H135" s="37">
        <v>6</v>
      </c>
      <c r="I135" s="37">
        <v>5000</v>
      </c>
      <c r="J135" s="37">
        <v>0.05</v>
      </c>
      <c r="K135" s="37">
        <f t="shared" si="5"/>
        <v>28500</v>
      </c>
      <c r="L135" s="37" t="s">
        <v>56</v>
      </c>
      <c r="M135" s="37" t="s">
        <v>22</v>
      </c>
      <c r="N135" s="4" t="str">
        <f>IF(I135=_xlfn.XLOOKUP(F135,Lists!$D$2:$D$13,Lists!$E$2:$E$13,"Not Found"),"OK","Check Price")</f>
        <v>Check Price</v>
      </c>
    </row>
    <row r="136" spans="1:14" ht="15.5" hidden="1" thickTop="1" thickBot="1" x14ac:dyDescent="0.4">
      <c r="A136" s="36" t="str">
        <f t="shared" si="4"/>
        <v>ORD0135</v>
      </c>
      <c r="B136" s="34">
        <v>45397</v>
      </c>
      <c r="C136" s="38" t="s">
        <v>73</v>
      </c>
      <c r="D136" s="38" t="s">
        <v>39</v>
      </c>
      <c r="E136" s="38" t="s">
        <v>79</v>
      </c>
      <c r="F136" s="38" t="s">
        <v>43</v>
      </c>
      <c r="G136" s="38" t="s">
        <v>19</v>
      </c>
      <c r="H136" s="38">
        <v>7</v>
      </c>
      <c r="I136" s="38">
        <v>2500</v>
      </c>
      <c r="J136" s="38">
        <v>0.1</v>
      </c>
      <c r="K136" s="38">
        <f t="shared" si="5"/>
        <v>15750</v>
      </c>
      <c r="L136" s="38" t="s">
        <v>56</v>
      </c>
      <c r="M136" s="38" t="s">
        <v>22</v>
      </c>
      <c r="N136" s="4" t="str">
        <f>IF(I136=_xlfn.XLOOKUP(F136,Lists!$D$2:$D$13,Lists!$E$2:$E$13,"Not Found"),"OK","Check Price")</f>
        <v>Check Price</v>
      </c>
    </row>
    <row r="137" spans="1:14" ht="15.5" hidden="1" thickTop="1" thickBot="1" x14ac:dyDescent="0.4">
      <c r="A137" s="36" t="str">
        <f t="shared" si="4"/>
        <v>ORD0136</v>
      </c>
      <c r="B137" s="34">
        <v>45956</v>
      </c>
      <c r="C137" s="37" t="s">
        <v>60</v>
      </c>
      <c r="D137" s="37" t="s">
        <v>48</v>
      </c>
      <c r="E137" s="37" t="s">
        <v>35</v>
      </c>
      <c r="F137" s="37" t="s">
        <v>49</v>
      </c>
      <c r="G137" s="37" t="s">
        <v>30</v>
      </c>
      <c r="H137" s="37">
        <v>3</v>
      </c>
      <c r="I137" s="37">
        <v>85000</v>
      </c>
      <c r="J137" s="37">
        <v>0.2</v>
      </c>
      <c r="K137" s="37">
        <f t="shared" si="5"/>
        <v>204000</v>
      </c>
      <c r="L137" s="37" t="s">
        <v>53</v>
      </c>
      <c r="M137" s="37" t="s">
        <v>27</v>
      </c>
      <c r="N137" s="4" t="str">
        <f>IF(I137=_xlfn.XLOOKUP(F137,Lists!$D$2:$D$13,Lists!$E$2:$E$13,"Not Found"),"OK","Check Price")</f>
        <v>Check Price</v>
      </c>
    </row>
    <row r="138" spans="1:14" ht="15.5" hidden="1" thickTop="1" thickBot="1" x14ac:dyDescent="0.4">
      <c r="A138" s="36" t="str">
        <f t="shared" si="4"/>
        <v>ORD0137</v>
      </c>
      <c r="B138" s="34">
        <v>45893</v>
      </c>
      <c r="C138" s="38" t="s">
        <v>70</v>
      </c>
      <c r="D138" s="38" t="s">
        <v>39</v>
      </c>
      <c r="E138" s="38" t="s">
        <v>79</v>
      </c>
      <c r="F138" s="38" t="s">
        <v>49</v>
      </c>
      <c r="G138" s="38" t="s">
        <v>19</v>
      </c>
      <c r="H138" s="38">
        <v>8</v>
      </c>
      <c r="I138" s="38">
        <v>28000</v>
      </c>
      <c r="J138" s="38">
        <v>0.2</v>
      </c>
      <c r="K138" s="38">
        <f t="shared" si="5"/>
        <v>179200</v>
      </c>
      <c r="L138" s="38" t="s">
        <v>37</v>
      </c>
      <c r="M138" s="38" t="s">
        <v>38</v>
      </c>
      <c r="N138" s="4" t="str">
        <f>IF(I138=_xlfn.XLOOKUP(F138,Lists!$D$2:$D$13,Lists!$E$2:$E$13,"Not Found"),"OK","Check Price")</f>
        <v>Check Price</v>
      </c>
    </row>
    <row r="139" spans="1:14" ht="15.5" hidden="1" thickTop="1" thickBot="1" x14ac:dyDescent="0.4">
      <c r="A139" s="36" t="str">
        <f t="shared" si="4"/>
        <v>ORD0138</v>
      </c>
      <c r="B139" s="34">
        <v>45552</v>
      </c>
      <c r="C139" s="37" t="s">
        <v>77</v>
      </c>
      <c r="D139" s="37" t="s">
        <v>45</v>
      </c>
      <c r="E139" s="37" t="s">
        <v>119</v>
      </c>
      <c r="F139" s="37" t="s">
        <v>31</v>
      </c>
      <c r="G139" s="37" t="s">
        <v>19</v>
      </c>
      <c r="H139" s="37">
        <v>5</v>
      </c>
      <c r="I139" s="37">
        <v>12000</v>
      </c>
      <c r="J139" s="37">
        <v>0.1</v>
      </c>
      <c r="K139" s="37">
        <f t="shared" si="5"/>
        <v>54000</v>
      </c>
      <c r="L139" s="37" t="s">
        <v>53</v>
      </c>
      <c r="M139" s="37" t="s">
        <v>33</v>
      </c>
      <c r="N139" s="4" t="str">
        <f>IF(I139=_xlfn.XLOOKUP(F139,Lists!$D$2:$D$13,Lists!$E$2:$E$13,"Not Found"),"OK","Check Price")</f>
        <v>Check Price</v>
      </c>
    </row>
    <row r="140" spans="1:14" ht="15.5" hidden="1" thickTop="1" thickBot="1" x14ac:dyDescent="0.4">
      <c r="A140" s="36" t="str">
        <f t="shared" si="4"/>
        <v>ORD0139</v>
      </c>
      <c r="B140" s="34">
        <v>45866</v>
      </c>
      <c r="C140" s="38" t="s">
        <v>71</v>
      </c>
      <c r="D140" s="38" t="s">
        <v>34</v>
      </c>
      <c r="E140" s="38" t="s">
        <v>80</v>
      </c>
      <c r="F140" s="38" t="s">
        <v>49</v>
      </c>
      <c r="G140" s="38" t="s">
        <v>24</v>
      </c>
      <c r="H140" s="38">
        <v>8</v>
      </c>
      <c r="I140" s="38">
        <v>2500</v>
      </c>
      <c r="J140" s="38">
        <v>0.05</v>
      </c>
      <c r="K140" s="38">
        <f t="shared" si="5"/>
        <v>19000</v>
      </c>
      <c r="L140" s="38" t="s">
        <v>53</v>
      </c>
      <c r="M140" s="38" t="s">
        <v>38</v>
      </c>
      <c r="N140" s="4" t="str">
        <f>IF(I140=_xlfn.XLOOKUP(F140,Lists!$D$2:$D$13,Lists!$E$2:$E$13,"Not Found"),"OK","Check Price")</f>
        <v>Check Price</v>
      </c>
    </row>
    <row r="141" spans="1:14" ht="15.5" hidden="1" thickTop="1" thickBot="1" x14ac:dyDescent="0.4">
      <c r="A141" s="36" t="str">
        <f t="shared" si="4"/>
        <v>ORD0140</v>
      </c>
      <c r="B141" s="34">
        <v>45783</v>
      </c>
      <c r="C141" s="37" t="s">
        <v>67</v>
      </c>
      <c r="D141" s="37" t="s">
        <v>48</v>
      </c>
      <c r="E141" s="37" t="s">
        <v>79</v>
      </c>
      <c r="F141" s="37" t="s">
        <v>49</v>
      </c>
      <c r="G141" s="37" t="s">
        <v>24</v>
      </c>
      <c r="H141" s="37">
        <v>1</v>
      </c>
      <c r="I141" s="37">
        <v>28000</v>
      </c>
      <c r="J141" s="37">
        <v>0.05</v>
      </c>
      <c r="K141" s="37">
        <f t="shared" si="5"/>
        <v>26600</v>
      </c>
      <c r="L141" s="37" t="s">
        <v>47</v>
      </c>
      <c r="M141" s="37" t="s">
        <v>33</v>
      </c>
      <c r="N141" s="4" t="str">
        <f>IF(I141=_xlfn.XLOOKUP(F141,Lists!$D$2:$D$13,Lists!$E$2:$E$13,"Not Found"),"OK","Check Price")</f>
        <v>Check Price</v>
      </c>
    </row>
    <row r="142" spans="1:14" ht="15.5" thickTop="1" thickBot="1" x14ac:dyDescent="0.4">
      <c r="A142" s="36" t="str">
        <f t="shared" si="4"/>
        <v>ORD0141</v>
      </c>
      <c r="B142" s="34">
        <v>46014</v>
      </c>
      <c r="C142" s="38" t="s">
        <v>78</v>
      </c>
      <c r="D142" s="38" t="s">
        <v>23</v>
      </c>
      <c r="E142" s="38" t="s">
        <v>35</v>
      </c>
      <c r="F142" s="38" t="s">
        <v>55</v>
      </c>
      <c r="G142" s="35" t="str">
        <f>_xlfn.XLOOKUP(F142,Lists!$J$2:$J$13,Lists!$K$2:$K$13,"Not Found")</f>
        <v>Office Supplies</v>
      </c>
      <c r="H142" s="38">
        <v>10</v>
      </c>
      <c r="I142" s="35">
        <f>_xlfn.XLOOKUP(F142,Lists!$D$2:$D$13,Lists!$E$2:$E$13,"Not Found")</f>
        <v>1500</v>
      </c>
      <c r="J142" s="48">
        <v>0.2</v>
      </c>
      <c r="K142" s="35">
        <f>H142*I142*(1-J142)</f>
        <v>12000</v>
      </c>
      <c r="L142" s="38" t="s">
        <v>37</v>
      </c>
      <c r="M142" s="38" t="s">
        <v>27</v>
      </c>
      <c r="N142" s="4" t="str">
        <f>IF(I142=_xlfn.XLOOKUP(F142,Lists!$D$2:$D$13,Lists!$E$2:$E$13,"Not Found"),"OK","Check Price")</f>
        <v>OK</v>
      </c>
    </row>
    <row r="143" spans="1:14" ht="15.5" hidden="1" thickTop="1" thickBot="1" x14ac:dyDescent="0.4">
      <c r="A143" s="36" t="str">
        <f t="shared" si="4"/>
        <v>ORD0142</v>
      </c>
      <c r="B143" s="34">
        <v>45959</v>
      </c>
      <c r="C143" s="37" t="s">
        <v>60</v>
      </c>
      <c r="D143" s="37" t="s">
        <v>48</v>
      </c>
      <c r="E143" s="37" t="s">
        <v>29</v>
      </c>
      <c r="F143" s="37" t="s">
        <v>57</v>
      </c>
      <c r="G143" s="37" t="s">
        <v>24</v>
      </c>
      <c r="H143" s="37">
        <v>7</v>
      </c>
      <c r="I143" s="37">
        <v>30000</v>
      </c>
      <c r="J143" s="37">
        <v>0.05</v>
      </c>
      <c r="K143" s="37">
        <f t="shared" si="5"/>
        <v>199500</v>
      </c>
      <c r="L143" s="37" t="s">
        <v>21</v>
      </c>
      <c r="M143" s="37" t="s">
        <v>33</v>
      </c>
      <c r="N143" s="4" t="str">
        <f>IF(I143=_xlfn.XLOOKUP(F143,Lists!$D$2:$D$13,Lists!$E$2:$E$13,"Not Found"),"OK","Check Price")</f>
        <v>Check Price</v>
      </c>
    </row>
    <row r="144" spans="1:14" ht="15.5" hidden="1" thickTop="1" thickBot="1" x14ac:dyDescent="0.4">
      <c r="A144" s="36" t="str">
        <f t="shared" si="4"/>
        <v>ORD0143</v>
      </c>
      <c r="B144" s="34">
        <v>45918</v>
      </c>
      <c r="C144" s="38" t="s">
        <v>63</v>
      </c>
      <c r="D144" s="38" t="s">
        <v>54</v>
      </c>
      <c r="E144" s="38" t="s">
        <v>119</v>
      </c>
      <c r="F144" s="38" t="s">
        <v>36</v>
      </c>
      <c r="G144" s="38" t="s">
        <v>19</v>
      </c>
      <c r="H144" s="38">
        <v>4</v>
      </c>
      <c r="I144" s="38">
        <v>5000</v>
      </c>
      <c r="J144" s="38">
        <v>0.05</v>
      </c>
      <c r="K144" s="38">
        <f t="shared" si="5"/>
        <v>19000</v>
      </c>
      <c r="L144" s="38" t="s">
        <v>44</v>
      </c>
      <c r="M144" s="38" t="s">
        <v>33</v>
      </c>
      <c r="N144" s="4" t="str">
        <f>IF(I144=_xlfn.XLOOKUP(F144,Lists!$D$2:$D$13,Lists!$E$2:$E$13,"Not Found"),"OK","Check Price")</f>
        <v>Check Price</v>
      </c>
    </row>
    <row r="145" spans="1:14" ht="15.5" hidden="1" thickTop="1" thickBot="1" x14ac:dyDescent="0.4">
      <c r="A145" s="36" t="str">
        <f t="shared" si="4"/>
        <v>ORD0144</v>
      </c>
      <c r="B145" s="34">
        <v>45519</v>
      </c>
      <c r="C145" s="37" t="s">
        <v>61</v>
      </c>
      <c r="D145" s="37" t="s">
        <v>45</v>
      </c>
      <c r="E145" s="37" t="s">
        <v>80</v>
      </c>
      <c r="F145" s="37" t="s">
        <v>40</v>
      </c>
      <c r="G145" s="37" t="s">
        <v>19</v>
      </c>
      <c r="H145" s="37">
        <v>7</v>
      </c>
      <c r="I145" s="37">
        <v>4000</v>
      </c>
      <c r="J145" s="37">
        <v>0.1</v>
      </c>
      <c r="K145" s="37">
        <f t="shared" si="5"/>
        <v>25200</v>
      </c>
      <c r="L145" s="37" t="s">
        <v>50</v>
      </c>
      <c r="M145" s="37" t="s">
        <v>33</v>
      </c>
      <c r="N145" s="4" t="str">
        <f>IF(I145=_xlfn.XLOOKUP(F145,Lists!$D$2:$D$13,Lists!$E$2:$E$13,"Not Found"),"OK","Check Price")</f>
        <v>Check Price</v>
      </c>
    </row>
    <row r="146" spans="1:14" ht="15.5" hidden="1" thickTop="1" thickBot="1" x14ac:dyDescent="0.4">
      <c r="A146" s="36" t="str">
        <f t="shared" si="4"/>
        <v>ORD0145</v>
      </c>
      <c r="B146" s="34">
        <v>45380</v>
      </c>
      <c r="C146" s="38" t="s">
        <v>78</v>
      </c>
      <c r="D146" s="38" t="s">
        <v>28</v>
      </c>
      <c r="E146" s="38" t="s">
        <v>80</v>
      </c>
      <c r="F146" s="38" t="s">
        <v>57</v>
      </c>
      <c r="G146" s="38" t="s">
        <v>30</v>
      </c>
      <c r="H146" s="38">
        <v>6</v>
      </c>
      <c r="I146" s="38">
        <v>1500</v>
      </c>
      <c r="J146" s="38">
        <v>0.1</v>
      </c>
      <c r="K146" s="38">
        <f t="shared" si="5"/>
        <v>8100</v>
      </c>
      <c r="L146" s="38" t="s">
        <v>56</v>
      </c>
      <c r="M146" s="38" t="s">
        <v>27</v>
      </c>
      <c r="N146" s="4" t="str">
        <f>IF(I146=_xlfn.XLOOKUP(F146,Lists!$D$2:$D$13,Lists!$E$2:$E$13,"Not Found"),"OK","Check Price")</f>
        <v>Check Price</v>
      </c>
    </row>
    <row r="147" spans="1:14" ht="15.5" hidden="1" thickTop="1" thickBot="1" x14ac:dyDescent="0.4">
      <c r="A147" s="36" t="str">
        <f t="shared" si="4"/>
        <v>ORD0146</v>
      </c>
      <c r="B147" s="34">
        <v>45995</v>
      </c>
      <c r="C147" s="37" t="s">
        <v>61</v>
      </c>
      <c r="D147" s="37" t="s">
        <v>48</v>
      </c>
      <c r="E147" s="37" t="s">
        <v>18</v>
      </c>
      <c r="F147" s="37" t="s">
        <v>49</v>
      </c>
      <c r="G147" s="37" t="s">
        <v>30</v>
      </c>
      <c r="H147" s="37">
        <v>10</v>
      </c>
      <c r="I147" s="37">
        <v>12000</v>
      </c>
      <c r="J147" s="37">
        <v>0.2</v>
      </c>
      <c r="K147" s="37">
        <f t="shared" si="5"/>
        <v>96000</v>
      </c>
      <c r="L147" s="37" t="s">
        <v>44</v>
      </c>
      <c r="M147" s="37" t="s">
        <v>38</v>
      </c>
      <c r="N147" s="4" t="str">
        <f>IF(I147=_xlfn.XLOOKUP(F147,Lists!$D$2:$D$13,Lists!$E$2:$E$13,"Not Found"),"OK","Check Price")</f>
        <v>Check Price</v>
      </c>
    </row>
    <row r="148" spans="1:14" ht="15.5" hidden="1" thickTop="1" thickBot="1" x14ac:dyDescent="0.4">
      <c r="A148" s="36" t="str">
        <f t="shared" si="4"/>
        <v>ORD0147</v>
      </c>
      <c r="B148" s="34">
        <v>45546</v>
      </c>
      <c r="C148" s="38" t="s">
        <v>68</v>
      </c>
      <c r="D148" s="38" t="s">
        <v>48</v>
      </c>
      <c r="E148" s="38" t="s">
        <v>29</v>
      </c>
      <c r="F148" s="38" t="s">
        <v>43</v>
      </c>
      <c r="G148" s="38" t="s">
        <v>30</v>
      </c>
      <c r="H148" s="38">
        <v>10</v>
      </c>
      <c r="I148" s="38">
        <v>28000</v>
      </c>
      <c r="J148" s="38">
        <v>0.15</v>
      </c>
      <c r="K148" s="38">
        <f t="shared" si="5"/>
        <v>238000</v>
      </c>
      <c r="L148" s="38" t="s">
        <v>26</v>
      </c>
      <c r="M148" s="38" t="s">
        <v>22</v>
      </c>
      <c r="N148" s="4" t="str">
        <f>IF(I148=_xlfn.XLOOKUP(F148,Lists!$D$2:$D$13,Lists!$E$2:$E$13,"Not Found"),"OK","Check Price")</f>
        <v>Check Price</v>
      </c>
    </row>
    <row r="149" spans="1:14" ht="15.5" thickTop="1" thickBot="1" x14ac:dyDescent="0.4">
      <c r="A149" s="36" t="str">
        <f t="shared" si="4"/>
        <v>ORD0148</v>
      </c>
      <c r="B149" s="34">
        <v>45691</v>
      </c>
      <c r="C149" s="37" t="s">
        <v>77</v>
      </c>
      <c r="D149" s="37" t="s">
        <v>39</v>
      </c>
      <c r="E149" s="37" t="s">
        <v>35</v>
      </c>
      <c r="F149" s="37" t="s">
        <v>46</v>
      </c>
      <c r="G149" s="35" t="str">
        <f>_xlfn.XLOOKUP(F149,Lists!$J$2:$J$13,Lists!$K$2:$K$13,"Not Found")</f>
        <v>Furniture</v>
      </c>
      <c r="H149" s="37">
        <v>1</v>
      </c>
      <c r="I149" s="35">
        <f>_xlfn.XLOOKUP(F149,Lists!$D$2:$D$13,Lists!$E$2:$E$13,"Not Found")</f>
        <v>22000</v>
      </c>
      <c r="J149" s="47">
        <v>0.05</v>
      </c>
      <c r="K149" s="35">
        <f>H149*I149*(1-J149)</f>
        <v>20900</v>
      </c>
      <c r="L149" s="37" t="s">
        <v>53</v>
      </c>
      <c r="M149" s="37" t="s">
        <v>22</v>
      </c>
      <c r="N149" s="4" t="str">
        <f>IF(I149=_xlfn.XLOOKUP(F149,Lists!$D$2:$D$13,Lists!$E$2:$E$13,"Not Found"),"OK","Check Price")</f>
        <v>OK</v>
      </c>
    </row>
    <row r="150" spans="1:14" ht="15.5" hidden="1" thickTop="1" thickBot="1" x14ac:dyDescent="0.4">
      <c r="A150" s="36" t="str">
        <f t="shared" si="4"/>
        <v>ORD0149</v>
      </c>
      <c r="B150" s="34">
        <v>45429</v>
      </c>
      <c r="C150" s="38" t="s">
        <v>76</v>
      </c>
      <c r="D150" s="38" t="s">
        <v>42</v>
      </c>
      <c r="E150" s="38" t="s">
        <v>80</v>
      </c>
      <c r="F150" s="38" t="s">
        <v>43</v>
      </c>
      <c r="G150" s="38" t="s">
        <v>30</v>
      </c>
      <c r="H150" s="38">
        <v>2</v>
      </c>
      <c r="I150" s="38">
        <v>28000</v>
      </c>
      <c r="J150" s="38">
        <v>0.2</v>
      </c>
      <c r="K150" s="38">
        <f t="shared" si="5"/>
        <v>44800</v>
      </c>
      <c r="L150" s="38" t="s">
        <v>50</v>
      </c>
      <c r="M150" s="38" t="s">
        <v>38</v>
      </c>
      <c r="N150" s="4" t="str">
        <f>IF(I150=_xlfn.XLOOKUP(F150,Lists!$D$2:$D$13,Lists!$E$2:$E$13,"Not Found"),"OK","Check Price")</f>
        <v>Check Price</v>
      </c>
    </row>
    <row r="151" spans="1:14" ht="15.5" hidden="1" thickTop="1" thickBot="1" x14ac:dyDescent="0.4">
      <c r="A151" s="36" t="str">
        <f t="shared" si="4"/>
        <v>ORD0150</v>
      </c>
      <c r="B151" s="34">
        <v>45808</v>
      </c>
      <c r="C151" s="37" t="s">
        <v>62</v>
      </c>
      <c r="D151" s="37" t="s">
        <v>42</v>
      </c>
      <c r="E151" s="37" t="s">
        <v>79</v>
      </c>
      <c r="F151" s="37" t="s">
        <v>52</v>
      </c>
      <c r="G151" s="37" t="s">
        <v>19</v>
      </c>
      <c r="H151" s="37">
        <v>5</v>
      </c>
      <c r="I151" s="37">
        <v>1500</v>
      </c>
      <c r="J151" s="37">
        <v>0.05</v>
      </c>
      <c r="K151" s="37">
        <f t="shared" si="5"/>
        <v>7125</v>
      </c>
      <c r="L151" s="37" t="s">
        <v>21</v>
      </c>
      <c r="M151" s="37" t="s">
        <v>22</v>
      </c>
      <c r="N151" s="4" t="str">
        <f>IF(I151=_xlfn.XLOOKUP(F151,Lists!$D$2:$D$13,Lists!$E$2:$E$13,"Not Found"),"OK","Check Price")</f>
        <v>Check Price</v>
      </c>
    </row>
    <row r="152" spans="1:14" ht="15.5" hidden="1" thickTop="1" thickBot="1" x14ac:dyDescent="0.4">
      <c r="A152" s="36" t="str">
        <f t="shared" si="4"/>
        <v>ORD0151</v>
      </c>
      <c r="B152" s="34">
        <v>45370</v>
      </c>
      <c r="C152" s="38" t="s">
        <v>67</v>
      </c>
      <c r="D152" s="38" t="s">
        <v>54</v>
      </c>
      <c r="E152" s="38" t="s">
        <v>18</v>
      </c>
      <c r="F152" s="38" t="s">
        <v>52</v>
      </c>
      <c r="G152" s="38" t="s">
        <v>30</v>
      </c>
      <c r="H152" s="38">
        <v>1</v>
      </c>
      <c r="I152" s="38">
        <v>4000</v>
      </c>
      <c r="J152" s="38">
        <v>0.15</v>
      </c>
      <c r="K152" s="38">
        <f t="shared" si="5"/>
        <v>3400</v>
      </c>
      <c r="L152" s="38" t="s">
        <v>21</v>
      </c>
      <c r="M152" s="38" t="s">
        <v>38</v>
      </c>
      <c r="N152" s="4" t="str">
        <f>IF(I152=_xlfn.XLOOKUP(F152,Lists!$D$2:$D$13,Lists!$E$2:$E$13,"Not Found"),"OK","Check Price")</f>
        <v>Check Price</v>
      </c>
    </row>
    <row r="153" spans="1:14" ht="15.5" thickTop="1" thickBot="1" x14ac:dyDescent="0.4">
      <c r="A153" s="36" t="str">
        <f t="shared" si="4"/>
        <v>ORD0152</v>
      </c>
      <c r="B153" s="34">
        <v>45951</v>
      </c>
      <c r="C153" s="37" t="s">
        <v>60</v>
      </c>
      <c r="D153" s="37" t="s">
        <v>42</v>
      </c>
      <c r="E153" s="37" t="s">
        <v>79</v>
      </c>
      <c r="F153" s="37" t="s">
        <v>20</v>
      </c>
      <c r="G153" s="35" t="str">
        <f>_xlfn.XLOOKUP(F153,Lists!$J$2:$J$13,Lists!$K$2:$K$13,"Not Found")</f>
        <v>Electronics</v>
      </c>
      <c r="H153" s="37">
        <v>8</v>
      </c>
      <c r="I153" s="35">
        <f>_xlfn.XLOOKUP(F153,Lists!$D$2:$D$13,Lists!$E$2:$E$13,"Not Found")</f>
        <v>85000</v>
      </c>
      <c r="J153" s="47">
        <v>0.1</v>
      </c>
      <c r="K153" s="35">
        <f>H153*I153*(1-J153)</f>
        <v>612000</v>
      </c>
      <c r="L153" s="37" t="s">
        <v>47</v>
      </c>
      <c r="M153" s="37" t="s">
        <v>27</v>
      </c>
      <c r="N153" s="4" t="str">
        <f>IF(I153=_xlfn.XLOOKUP(F153,Lists!$D$2:$D$13,Lists!$E$2:$E$13,"Not Found"),"OK","Check Price")</f>
        <v>OK</v>
      </c>
    </row>
    <row r="154" spans="1:14" ht="15.5" hidden="1" thickTop="1" thickBot="1" x14ac:dyDescent="0.4">
      <c r="A154" s="36" t="str">
        <f t="shared" si="4"/>
        <v>ORD0153</v>
      </c>
      <c r="B154" s="34">
        <v>45712</v>
      </c>
      <c r="C154" s="38" t="s">
        <v>71</v>
      </c>
      <c r="D154" s="38" t="s">
        <v>39</v>
      </c>
      <c r="E154" s="38" t="s">
        <v>29</v>
      </c>
      <c r="F154" s="38" t="s">
        <v>40</v>
      </c>
      <c r="G154" s="38" t="s">
        <v>30</v>
      </c>
      <c r="H154" s="38">
        <v>1</v>
      </c>
      <c r="I154" s="38">
        <v>22000</v>
      </c>
      <c r="J154" s="38">
        <v>0.15</v>
      </c>
      <c r="K154" s="38">
        <f t="shared" si="5"/>
        <v>18700</v>
      </c>
      <c r="L154" s="38" t="s">
        <v>56</v>
      </c>
      <c r="M154" s="38" t="s">
        <v>33</v>
      </c>
      <c r="N154" s="4" t="str">
        <f>IF(I154=_xlfn.XLOOKUP(F154,Lists!$D$2:$D$13,Lists!$E$2:$E$13,"Not Found"),"OK","Check Price")</f>
        <v>Check Price</v>
      </c>
    </row>
    <row r="155" spans="1:14" ht="15.5" thickTop="1" thickBot="1" x14ac:dyDescent="0.4">
      <c r="A155" s="36" t="str">
        <f t="shared" si="4"/>
        <v>ORD0154</v>
      </c>
      <c r="B155" s="34">
        <v>45361</v>
      </c>
      <c r="C155" s="37" t="s">
        <v>68</v>
      </c>
      <c r="D155" s="37" t="s">
        <v>39</v>
      </c>
      <c r="E155" s="37" t="s">
        <v>35</v>
      </c>
      <c r="F155" s="37" t="s">
        <v>46</v>
      </c>
      <c r="G155" s="35" t="str">
        <f>_xlfn.XLOOKUP(F155,Lists!$J$2:$J$13,Lists!$K$2:$K$13,"Not Found")</f>
        <v>Furniture</v>
      </c>
      <c r="H155" s="37">
        <v>3</v>
      </c>
      <c r="I155" s="35">
        <f>_xlfn.XLOOKUP(F155,Lists!$D$2:$D$13,Lists!$E$2:$E$13,"Not Found")</f>
        <v>22000</v>
      </c>
      <c r="J155" s="47">
        <v>0.1</v>
      </c>
      <c r="K155" s="35">
        <f>H155*I155*(1-J155)</f>
        <v>59400</v>
      </c>
      <c r="L155" s="37" t="s">
        <v>56</v>
      </c>
      <c r="M155" s="37" t="s">
        <v>33</v>
      </c>
      <c r="N155" s="4" t="str">
        <f>IF(I155=_xlfn.XLOOKUP(F155,Lists!$D$2:$D$13,Lists!$E$2:$E$13,"Not Found"),"OK","Check Price")</f>
        <v>OK</v>
      </c>
    </row>
    <row r="156" spans="1:14" ht="15.5" hidden="1" thickTop="1" thickBot="1" x14ac:dyDescent="0.4">
      <c r="A156" s="36" t="str">
        <f t="shared" si="4"/>
        <v>ORD0155</v>
      </c>
      <c r="B156" s="34">
        <v>45605</v>
      </c>
      <c r="C156" s="38" t="s">
        <v>62</v>
      </c>
      <c r="D156" s="38" t="s">
        <v>45</v>
      </c>
      <c r="E156" s="38" t="s">
        <v>29</v>
      </c>
      <c r="F156" s="38" t="s">
        <v>40</v>
      </c>
      <c r="G156" s="38" t="s">
        <v>19</v>
      </c>
      <c r="H156" s="38">
        <v>7</v>
      </c>
      <c r="I156" s="38">
        <v>1200</v>
      </c>
      <c r="J156" s="38">
        <v>0.05</v>
      </c>
      <c r="K156" s="38">
        <f t="shared" si="5"/>
        <v>7980</v>
      </c>
      <c r="L156" s="38" t="s">
        <v>26</v>
      </c>
      <c r="M156" s="38" t="s">
        <v>22</v>
      </c>
      <c r="N156" s="4" t="str">
        <f>IF(I156=_xlfn.XLOOKUP(F156,Lists!$D$2:$D$13,Lists!$E$2:$E$13,"Not Found"),"OK","Check Price")</f>
        <v>Check Price</v>
      </c>
    </row>
    <row r="157" spans="1:14" ht="15.5" thickTop="1" thickBot="1" x14ac:dyDescent="0.4">
      <c r="A157" s="36" t="str">
        <f t="shared" si="4"/>
        <v>ORD0156</v>
      </c>
      <c r="B157" s="34">
        <v>45552</v>
      </c>
      <c r="C157" s="37" t="s">
        <v>65</v>
      </c>
      <c r="D157" s="37" t="s">
        <v>17</v>
      </c>
      <c r="E157" s="37" t="s">
        <v>79</v>
      </c>
      <c r="F157" s="37" t="s">
        <v>20</v>
      </c>
      <c r="G157" s="35" t="str">
        <f>_xlfn.XLOOKUP(F157,Lists!$J$2:$J$13,Lists!$K$2:$K$13,"Not Found")</f>
        <v>Electronics</v>
      </c>
      <c r="H157" s="37">
        <v>2</v>
      </c>
      <c r="I157" s="35">
        <f>_xlfn.XLOOKUP(F157,Lists!$D$2:$D$13,Lists!$E$2:$E$13,"Not Found")</f>
        <v>85000</v>
      </c>
      <c r="J157" s="47">
        <v>0.05</v>
      </c>
      <c r="K157" s="35">
        <f t="shared" si="5"/>
        <v>161500</v>
      </c>
      <c r="L157" s="37" t="s">
        <v>56</v>
      </c>
      <c r="M157" s="37" t="s">
        <v>27</v>
      </c>
      <c r="N157" s="4" t="str">
        <f>IF(I157=_xlfn.XLOOKUP(F157,Lists!$D$2:$D$13,Lists!$E$2:$E$13,"Not Found"),"OK","Check Price")</f>
        <v>OK</v>
      </c>
    </row>
    <row r="158" spans="1:14" ht="15.5" thickTop="1" thickBot="1" x14ac:dyDescent="0.4">
      <c r="A158" s="36" t="str">
        <f t="shared" si="4"/>
        <v>ORD0157</v>
      </c>
      <c r="B158" s="34">
        <v>45944</v>
      </c>
      <c r="C158" s="38" t="s">
        <v>65</v>
      </c>
      <c r="D158" s="38" t="s">
        <v>28</v>
      </c>
      <c r="E158" s="38" t="s">
        <v>35</v>
      </c>
      <c r="F158" s="38" t="s">
        <v>46</v>
      </c>
      <c r="G158" s="35" t="str">
        <f>_xlfn.XLOOKUP(F158,Lists!$J$2:$J$13,Lists!$K$2:$K$13,"Not Found")</f>
        <v>Furniture</v>
      </c>
      <c r="H158" s="38">
        <v>2</v>
      </c>
      <c r="I158" s="35">
        <f>_xlfn.XLOOKUP(F158,Lists!$D$2:$D$13,Lists!$E$2:$E$13,"Not Found")</f>
        <v>22000</v>
      </c>
      <c r="J158" s="48">
        <v>0.25</v>
      </c>
      <c r="K158" s="35">
        <f t="shared" si="5"/>
        <v>33000</v>
      </c>
      <c r="L158" s="38" t="s">
        <v>37</v>
      </c>
      <c r="M158" s="38" t="s">
        <v>33</v>
      </c>
      <c r="N158" s="4" t="str">
        <f>IF(I158=_xlfn.XLOOKUP(F158,Lists!$D$2:$D$13,Lists!$E$2:$E$13,"Not Found"),"OK","Check Price")</f>
        <v>OK</v>
      </c>
    </row>
    <row r="159" spans="1:14" ht="15.5" thickTop="1" thickBot="1" x14ac:dyDescent="0.4">
      <c r="A159" s="36" t="str">
        <f t="shared" si="4"/>
        <v>ORD0158</v>
      </c>
      <c r="B159" s="34">
        <v>45556</v>
      </c>
      <c r="C159" s="37" t="s">
        <v>77</v>
      </c>
      <c r="D159" s="37" t="s">
        <v>48</v>
      </c>
      <c r="E159" s="37" t="s">
        <v>80</v>
      </c>
      <c r="F159" s="37" t="s">
        <v>55</v>
      </c>
      <c r="G159" s="35" t="str">
        <f>_xlfn.XLOOKUP(F159,Lists!$J$2:$J$13,Lists!$K$2:$K$13,"Not Found")</f>
        <v>Office Supplies</v>
      </c>
      <c r="H159" s="37">
        <v>8</v>
      </c>
      <c r="I159" s="35">
        <f>_xlfn.XLOOKUP(F159,Lists!$D$2:$D$13,Lists!$E$2:$E$13,"Not Found")</f>
        <v>1500</v>
      </c>
      <c r="J159" s="47">
        <v>0.2</v>
      </c>
      <c r="K159" s="35">
        <f t="shared" si="5"/>
        <v>9600</v>
      </c>
      <c r="L159" s="37" t="s">
        <v>47</v>
      </c>
      <c r="M159" s="37" t="s">
        <v>27</v>
      </c>
      <c r="N159" s="4" t="str">
        <f>IF(I159=_xlfn.XLOOKUP(F159,Lists!$D$2:$D$13,Lists!$E$2:$E$13,"Not Found"),"OK","Check Price")</f>
        <v>OK</v>
      </c>
    </row>
    <row r="160" spans="1:14" ht="15.5" hidden="1" thickTop="1" thickBot="1" x14ac:dyDescent="0.4">
      <c r="A160" s="36" t="str">
        <f t="shared" si="4"/>
        <v>ORD0159</v>
      </c>
      <c r="B160" s="34">
        <v>45553</v>
      </c>
      <c r="C160" s="38" t="s">
        <v>67</v>
      </c>
      <c r="D160" s="38" t="s">
        <v>54</v>
      </c>
      <c r="E160" s="38" t="s">
        <v>29</v>
      </c>
      <c r="F160" s="38" t="s">
        <v>43</v>
      </c>
      <c r="G160" s="38" t="s">
        <v>24</v>
      </c>
      <c r="H160" s="38">
        <v>6</v>
      </c>
      <c r="I160" s="38">
        <v>12000</v>
      </c>
      <c r="J160" s="38">
        <v>0.1</v>
      </c>
      <c r="K160" s="38">
        <f t="shared" si="5"/>
        <v>64800</v>
      </c>
      <c r="L160" s="38" t="s">
        <v>47</v>
      </c>
      <c r="M160" s="38" t="s">
        <v>22</v>
      </c>
      <c r="N160" s="4" t="str">
        <f>IF(I160=_xlfn.XLOOKUP(F160,Lists!$D$2:$D$13,Lists!$E$2:$E$13,"Not Found"),"OK","Check Price")</f>
        <v>OK</v>
      </c>
    </row>
    <row r="161" spans="1:14" ht="15.5" thickTop="1" thickBot="1" x14ac:dyDescent="0.4">
      <c r="A161" s="36" t="str">
        <f t="shared" si="4"/>
        <v>ORD0160</v>
      </c>
      <c r="B161" s="34">
        <v>45909</v>
      </c>
      <c r="C161" s="37" t="s">
        <v>78</v>
      </c>
      <c r="D161" s="37" t="s">
        <v>42</v>
      </c>
      <c r="E161" s="37" t="s">
        <v>35</v>
      </c>
      <c r="F161" s="37" t="s">
        <v>46</v>
      </c>
      <c r="G161" s="35" t="str">
        <f>_xlfn.XLOOKUP(F161,Lists!$J$2:$J$13,Lists!$K$2:$K$13,"Not Found")</f>
        <v>Furniture</v>
      </c>
      <c r="H161" s="37">
        <v>8</v>
      </c>
      <c r="I161" s="35">
        <f>_xlfn.XLOOKUP(F161,Lists!$D$2:$D$13,Lists!$E$2:$E$13,"Not Found")</f>
        <v>22000</v>
      </c>
      <c r="J161" s="47">
        <v>0.1</v>
      </c>
      <c r="K161" s="35">
        <f>H161*I161*(1-J161)</f>
        <v>158400</v>
      </c>
      <c r="L161" s="37" t="s">
        <v>32</v>
      </c>
      <c r="M161" s="37" t="s">
        <v>38</v>
      </c>
      <c r="N161" s="4" t="str">
        <f>IF(I161=_xlfn.XLOOKUP(F161,Lists!$D$2:$D$13,Lists!$E$2:$E$13,"Not Found"),"OK","Check Price")</f>
        <v>OK</v>
      </c>
    </row>
    <row r="162" spans="1:14" ht="15.5" hidden="1" thickTop="1" thickBot="1" x14ac:dyDescent="0.4">
      <c r="A162" s="36" t="str">
        <f t="shared" si="4"/>
        <v>ORD0161</v>
      </c>
      <c r="B162" s="34">
        <v>45365</v>
      </c>
      <c r="C162" s="38" t="s">
        <v>67</v>
      </c>
      <c r="D162" s="38" t="s">
        <v>54</v>
      </c>
      <c r="E162" s="38" t="s">
        <v>18</v>
      </c>
      <c r="F162" s="38" t="s">
        <v>49</v>
      </c>
      <c r="G162" s="38" t="s">
        <v>19</v>
      </c>
      <c r="H162" s="38">
        <v>6</v>
      </c>
      <c r="I162" s="38">
        <v>22000</v>
      </c>
      <c r="J162" s="38">
        <v>0.05</v>
      </c>
      <c r="K162" s="38">
        <f t="shared" si="5"/>
        <v>125400</v>
      </c>
      <c r="L162" s="38" t="s">
        <v>41</v>
      </c>
      <c r="M162" s="38" t="s">
        <v>33</v>
      </c>
      <c r="N162" s="4" t="str">
        <f>IF(I162=_xlfn.XLOOKUP(F162,Lists!$D$2:$D$13,Lists!$E$2:$E$13,"Not Found"),"OK","Check Price")</f>
        <v>Check Price</v>
      </c>
    </row>
    <row r="163" spans="1:14" ht="15.5" hidden="1" thickTop="1" thickBot="1" x14ac:dyDescent="0.4">
      <c r="A163" s="36" t="str">
        <f t="shared" si="4"/>
        <v>ORD0162</v>
      </c>
      <c r="B163" s="34">
        <v>45635</v>
      </c>
      <c r="C163" s="37" t="s">
        <v>66</v>
      </c>
      <c r="D163" s="37" t="s">
        <v>48</v>
      </c>
      <c r="E163" s="37" t="s">
        <v>80</v>
      </c>
      <c r="F163" s="37" t="s">
        <v>57</v>
      </c>
      <c r="G163" s="37" t="s">
        <v>19</v>
      </c>
      <c r="H163" s="37">
        <v>3</v>
      </c>
      <c r="I163" s="37">
        <v>30000</v>
      </c>
      <c r="J163" s="37">
        <v>0.1</v>
      </c>
      <c r="K163" s="37">
        <f t="shared" si="5"/>
        <v>81000</v>
      </c>
      <c r="L163" s="37" t="s">
        <v>21</v>
      </c>
      <c r="M163" s="37" t="s">
        <v>33</v>
      </c>
      <c r="N163" s="4" t="str">
        <f>IF(I163=_xlfn.XLOOKUP(F163,Lists!$D$2:$D$13,Lists!$E$2:$E$13,"Not Found"),"OK","Check Price")</f>
        <v>Check Price</v>
      </c>
    </row>
    <row r="164" spans="1:14" ht="15.5" hidden="1" thickTop="1" thickBot="1" x14ac:dyDescent="0.4">
      <c r="A164" s="36" t="str">
        <f t="shared" si="4"/>
        <v>ORD0163</v>
      </c>
      <c r="B164" s="34">
        <v>45343</v>
      </c>
      <c r="C164" s="38" t="s">
        <v>69</v>
      </c>
      <c r="D164" s="38" t="s">
        <v>28</v>
      </c>
      <c r="E164" s="38" t="s">
        <v>35</v>
      </c>
      <c r="F164" s="38" t="s">
        <v>43</v>
      </c>
      <c r="G164" s="38" t="s">
        <v>19</v>
      </c>
      <c r="H164" s="38">
        <v>5</v>
      </c>
      <c r="I164" s="38">
        <v>85000</v>
      </c>
      <c r="J164" s="38">
        <v>0.1</v>
      </c>
      <c r="K164" s="38">
        <f t="shared" si="5"/>
        <v>382500</v>
      </c>
      <c r="L164" s="38" t="s">
        <v>41</v>
      </c>
      <c r="M164" s="38" t="s">
        <v>27</v>
      </c>
      <c r="N164" s="4" t="str">
        <f>IF(I164=_xlfn.XLOOKUP(F164,Lists!$D$2:$D$13,Lists!$E$2:$E$13,"Not Found"),"OK","Check Price")</f>
        <v>Check Price</v>
      </c>
    </row>
    <row r="165" spans="1:14" ht="15.5" hidden="1" thickTop="1" thickBot="1" x14ac:dyDescent="0.4">
      <c r="A165" s="36" t="str">
        <f t="shared" si="4"/>
        <v>ORD0164</v>
      </c>
      <c r="B165" s="34">
        <v>45795</v>
      </c>
      <c r="C165" s="37" t="s">
        <v>70</v>
      </c>
      <c r="D165" s="37" t="s">
        <v>34</v>
      </c>
      <c r="E165" s="37" t="s">
        <v>18</v>
      </c>
      <c r="F165" s="37" t="s">
        <v>40</v>
      </c>
      <c r="G165" s="37" t="s">
        <v>30</v>
      </c>
      <c r="H165" s="37">
        <v>6</v>
      </c>
      <c r="I165" s="37">
        <v>1500</v>
      </c>
      <c r="J165" s="37">
        <v>0.05</v>
      </c>
      <c r="K165" s="37">
        <f t="shared" si="5"/>
        <v>8550</v>
      </c>
      <c r="L165" s="37" t="s">
        <v>56</v>
      </c>
      <c r="M165" s="37" t="s">
        <v>22</v>
      </c>
      <c r="N165" s="4" t="str">
        <f>IF(I165=_xlfn.XLOOKUP(F165,Lists!$D$2:$D$13,Lists!$E$2:$E$13,"Not Found"),"OK","Check Price")</f>
        <v>Check Price</v>
      </c>
    </row>
    <row r="166" spans="1:14" ht="15.5" hidden="1" thickTop="1" thickBot="1" x14ac:dyDescent="0.4">
      <c r="A166" s="36" t="str">
        <f t="shared" si="4"/>
        <v>ORD0165</v>
      </c>
      <c r="B166" s="34">
        <v>45799</v>
      </c>
      <c r="C166" s="38" t="s">
        <v>77</v>
      </c>
      <c r="D166" s="38" t="s">
        <v>28</v>
      </c>
      <c r="E166" s="38" t="s">
        <v>119</v>
      </c>
      <c r="F166" s="38" t="s">
        <v>52</v>
      </c>
      <c r="G166" s="38" t="s">
        <v>19</v>
      </c>
      <c r="H166" s="38">
        <v>8</v>
      </c>
      <c r="I166" s="38">
        <v>350</v>
      </c>
      <c r="J166" s="38">
        <v>0.2</v>
      </c>
      <c r="K166" s="38">
        <f t="shared" si="5"/>
        <v>2240</v>
      </c>
      <c r="L166" s="38" t="s">
        <v>32</v>
      </c>
      <c r="M166" s="38" t="s">
        <v>22</v>
      </c>
      <c r="N166" s="4" t="str">
        <f>IF(I166=_xlfn.XLOOKUP(F166,Lists!$D$2:$D$13,Lists!$E$2:$E$13,"Not Found"),"OK","Check Price")</f>
        <v>Check Price</v>
      </c>
    </row>
    <row r="167" spans="1:14" ht="15.5" thickTop="1" thickBot="1" x14ac:dyDescent="0.4">
      <c r="A167" s="36" t="str">
        <f t="shared" si="4"/>
        <v>ORD0166</v>
      </c>
      <c r="B167" s="34">
        <v>45741</v>
      </c>
      <c r="C167" s="37" t="s">
        <v>65</v>
      </c>
      <c r="D167" s="37" t="s">
        <v>45</v>
      </c>
      <c r="E167" s="37" t="s">
        <v>35</v>
      </c>
      <c r="F167" s="37" t="s">
        <v>46</v>
      </c>
      <c r="G167" s="35" t="str">
        <f>_xlfn.XLOOKUP(F167,Lists!$J$2:$J$13,Lists!$K$2:$K$13,"Not Found")</f>
        <v>Furniture</v>
      </c>
      <c r="H167" s="37">
        <v>1</v>
      </c>
      <c r="I167" s="35">
        <f>_xlfn.XLOOKUP(F167,Lists!$D$2:$D$13,Lists!$E$2:$E$13,"Not Found")</f>
        <v>22000</v>
      </c>
      <c r="J167" s="47">
        <v>0.15</v>
      </c>
      <c r="K167" s="35">
        <f>H167*I167*(1-J167)</f>
        <v>18700</v>
      </c>
      <c r="L167" s="37" t="s">
        <v>56</v>
      </c>
      <c r="M167" s="37" t="s">
        <v>27</v>
      </c>
      <c r="N167" s="4" t="str">
        <f>IF(I167=_xlfn.XLOOKUP(F167,Lists!$D$2:$D$13,Lists!$E$2:$E$13,"Not Found"),"OK","Check Price")</f>
        <v>OK</v>
      </c>
    </row>
    <row r="168" spans="1:14" ht="15.5" hidden="1" thickTop="1" thickBot="1" x14ac:dyDescent="0.4">
      <c r="A168" s="36" t="str">
        <f t="shared" si="4"/>
        <v>ORD0167</v>
      </c>
      <c r="B168" s="34">
        <v>45753</v>
      </c>
      <c r="C168" s="38" t="s">
        <v>71</v>
      </c>
      <c r="D168" s="38" t="s">
        <v>39</v>
      </c>
      <c r="E168" s="38" t="s">
        <v>35</v>
      </c>
      <c r="F168" s="38" t="s">
        <v>40</v>
      </c>
      <c r="G168" s="38" t="s">
        <v>24</v>
      </c>
      <c r="H168" s="38">
        <v>3</v>
      </c>
      <c r="I168" s="38">
        <v>2500</v>
      </c>
      <c r="J168" s="38">
        <v>0.15</v>
      </c>
      <c r="K168" s="38">
        <f t="shared" si="5"/>
        <v>6375</v>
      </c>
      <c r="L168" s="38" t="s">
        <v>37</v>
      </c>
      <c r="M168" s="38" t="s">
        <v>22</v>
      </c>
      <c r="N168" s="4" t="str">
        <f>IF(I168=_xlfn.XLOOKUP(F168,Lists!$D$2:$D$13,Lists!$E$2:$E$13,"Not Found"),"OK","Check Price")</f>
        <v>Check Price</v>
      </c>
    </row>
    <row r="169" spans="1:14" ht="15.5" hidden="1" thickTop="1" thickBot="1" x14ac:dyDescent="0.4">
      <c r="A169" s="36" t="str">
        <f t="shared" si="4"/>
        <v>ORD0168</v>
      </c>
      <c r="B169" s="34">
        <v>45408</v>
      </c>
      <c r="C169" s="37" t="s">
        <v>66</v>
      </c>
      <c r="D169" s="37" t="s">
        <v>34</v>
      </c>
      <c r="E169" s="37" t="s">
        <v>29</v>
      </c>
      <c r="F169" s="37" t="s">
        <v>57</v>
      </c>
      <c r="G169" s="37" t="s">
        <v>24</v>
      </c>
      <c r="H169" s="37">
        <v>3</v>
      </c>
      <c r="I169" s="37">
        <v>2000</v>
      </c>
      <c r="J169" s="37">
        <v>0.25</v>
      </c>
      <c r="K169" s="37">
        <f t="shared" si="5"/>
        <v>4500</v>
      </c>
      <c r="L169" s="37" t="s">
        <v>21</v>
      </c>
      <c r="M169" s="37" t="s">
        <v>27</v>
      </c>
      <c r="N169" s="4" t="str">
        <f>IF(I169=_xlfn.XLOOKUP(F169,Lists!$D$2:$D$13,Lists!$E$2:$E$13,"Not Found"),"OK","Check Price")</f>
        <v>OK</v>
      </c>
    </row>
    <row r="170" spans="1:14" ht="15.5" hidden="1" thickTop="1" thickBot="1" x14ac:dyDescent="0.4">
      <c r="A170" s="36" t="str">
        <f t="shared" si="4"/>
        <v>ORD0169</v>
      </c>
      <c r="B170" s="34">
        <v>45849</v>
      </c>
      <c r="C170" s="38" t="s">
        <v>69</v>
      </c>
      <c r="D170" s="38" t="s">
        <v>45</v>
      </c>
      <c r="E170" s="38" t="s">
        <v>79</v>
      </c>
      <c r="F170" s="38" t="s">
        <v>57</v>
      </c>
      <c r="G170" s="38" t="s">
        <v>19</v>
      </c>
      <c r="H170" s="38">
        <v>2</v>
      </c>
      <c r="I170" s="38">
        <v>28000</v>
      </c>
      <c r="J170" s="38">
        <v>0.05</v>
      </c>
      <c r="K170" s="38">
        <f t="shared" si="5"/>
        <v>53200</v>
      </c>
      <c r="L170" s="38" t="s">
        <v>47</v>
      </c>
      <c r="M170" s="38" t="s">
        <v>33</v>
      </c>
      <c r="N170" s="4" t="str">
        <f>IF(I170=_xlfn.XLOOKUP(F170,Lists!$D$2:$D$13,Lists!$E$2:$E$13,"Not Found"),"OK","Check Price")</f>
        <v>Check Price</v>
      </c>
    </row>
    <row r="171" spans="1:14" ht="15.5" hidden="1" thickTop="1" thickBot="1" x14ac:dyDescent="0.4">
      <c r="A171" s="36" t="str">
        <f t="shared" si="4"/>
        <v>ORD0170</v>
      </c>
      <c r="B171" s="34">
        <v>45633</v>
      </c>
      <c r="C171" s="37" t="s">
        <v>75</v>
      </c>
      <c r="D171" s="37" t="s">
        <v>28</v>
      </c>
      <c r="E171" s="37" t="s">
        <v>79</v>
      </c>
      <c r="F171" s="37" t="s">
        <v>36</v>
      </c>
      <c r="G171" s="37" t="s">
        <v>19</v>
      </c>
      <c r="H171" s="37">
        <v>7</v>
      </c>
      <c r="I171" s="37">
        <v>1500</v>
      </c>
      <c r="J171" s="37">
        <v>0.15</v>
      </c>
      <c r="K171" s="37">
        <f t="shared" si="5"/>
        <v>8925</v>
      </c>
      <c r="L171" s="37" t="s">
        <v>47</v>
      </c>
      <c r="M171" s="37" t="s">
        <v>38</v>
      </c>
      <c r="N171" s="4" t="str">
        <f>IF(I171=_xlfn.XLOOKUP(F171,Lists!$D$2:$D$13,Lists!$E$2:$E$13,"Not Found"),"OK","Check Price")</f>
        <v>Check Price</v>
      </c>
    </row>
    <row r="172" spans="1:14" ht="15.5" hidden="1" thickTop="1" thickBot="1" x14ac:dyDescent="0.4">
      <c r="A172" s="36" t="str">
        <f t="shared" si="4"/>
        <v>ORD0171</v>
      </c>
      <c r="B172" s="34">
        <v>45627</v>
      </c>
      <c r="C172" s="38" t="s">
        <v>59</v>
      </c>
      <c r="D172" s="38" t="s">
        <v>48</v>
      </c>
      <c r="E172" s="38" t="s">
        <v>35</v>
      </c>
      <c r="F172" s="38" t="s">
        <v>57</v>
      </c>
      <c r="G172" s="38" t="s">
        <v>24</v>
      </c>
      <c r="H172" s="38">
        <v>9</v>
      </c>
      <c r="I172" s="38">
        <v>22000</v>
      </c>
      <c r="J172" s="38">
        <v>0.15</v>
      </c>
      <c r="K172" s="38">
        <f t="shared" si="5"/>
        <v>168300</v>
      </c>
      <c r="L172" s="38" t="s">
        <v>56</v>
      </c>
      <c r="M172" s="38" t="s">
        <v>27</v>
      </c>
      <c r="N172" s="4" t="str">
        <f>IF(I172=_xlfn.XLOOKUP(F172,Lists!$D$2:$D$13,Lists!$E$2:$E$13,"Not Found"),"OK","Check Price")</f>
        <v>Check Price</v>
      </c>
    </row>
    <row r="173" spans="1:14" ht="15.5" hidden="1" thickTop="1" thickBot="1" x14ac:dyDescent="0.4">
      <c r="A173" s="36" t="str">
        <f t="shared" si="4"/>
        <v>ORD0172</v>
      </c>
      <c r="B173" s="34">
        <v>45976</v>
      </c>
      <c r="C173" s="37" t="s">
        <v>69</v>
      </c>
      <c r="D173" s="37" t="s">
        <v>54</v>
      </c>
      <c r="E173" s="37" t="s">
        <v>79</v>
      </c>
      <c r="F173" s="37" t="s">
        <v>43</v>
      </c>
      <c r="G173" s="37" t="s">
        <v>19</v>
      </c>
      <c r="H173" s="37">
        <v>4</v>
      </c>
      <c r="I173" s="37">
        <v>30000</v>
      </c>
      <c r="J173" s="37">
        <v>0.05</v>
      </c>
      <c r="K173" s="37">
        <f t="shared" si="5"/>
        <v>114000</v>
      </c>
      <c r="L173" s="37" t="s">
        <v>44</v>
      </c>
      <c r="M173" s="37" t="s">
        <v>27</v>
      </c>
      <c r="N173" s="4" t="str">
        <f>IF(I173=_xlfn.XLOOKUP(F173,Lists!$D$2:$D$13,Lists!$E$2:$E$13,"Not Found"),"OK","Check Price")</f>
        <v>Check Price</v>
      </c>
    </row>
    <row r="174" spans="1:14" ht="15.5" thickTop="1" thickBot="1" x14ac:dyDescent="0.4">
      <c r="A174" s="36" t="str">
        <f t="shared" si="4"/>
        <v>ORD0173</v>
      </c>
      <c r="B174" s="34">
        <v>45677</v>
      </c>
      <c r="C174" s="38" t="s">
        <v>65</v>
      </c>
      <c r="D174" s="38" t="s">
        <v>42</v>
      </c>
      <c r="E174" s="38" t="s">
        <v>119</v>
      </c>
      <c r="F174" s="38" t="s">
        <v>46</v>
      </c>
      <c r="G174" s="35" t="str">
        <f>_xlfn.XLOOKUP(F174,Lists!$J$2:$J$13,Lists!$K$2:$K$13,"Not Found")</f>
        <v>Furniture</v>
      </c>
      <c r="H174" s="38">
        <v>6</v>
      </c>
      <c r="I174" s="35">
        <f>_xlfn.XLOOKUP(F174,Lists!$D$2:$D$13,Lists!$E$2:$E$13,"Not Found")</f>
        <v>22000</v>
      </c>
      <c r="J174" s="48">
        <v>0.15</v>
      </c>
      <c r="K174" s="35">
        <f>H174*I174*(1-J174)</f>
        <v>112200</v>
      </c>
      <c r="L174" s="38" t="s">
        <v>44</v>
      </c>
      <c r="M174" s="38" t="s">
        <v>33</v>
      </c>
      <c r="N174" s="4" t="str">
        <f>IF(I174=_xlfn.XLOOKUP(F174,Lists!$D$2:$D$13,Lists!$E$2:$E$13,"Not Found"),"OK","Check Price")</f>
        <v>OK</v>
      </c>
    </row>
    <row r="175" spans="1:14" ht="15.5" hidden="1" thickTop="1" thickBot="1" x14ac:dyDescent="0.4">
      <c r="A175" s="36" t="str">
        <f t="shared" si="4"/>
        <v>ORD0174</v>
      </c>
      <c r="B175" s="34">
        <v>45884</v>
      </c>
      <c r="C175" s="37" t="s">
        <v>74</v>
      </c>
      <c r="D175" s="37" t="s">
        <v>17</v>
      </c>
      <c r="E175" s="37" t="s">
        <v>35</v>
      </c>
      <c r="F175" s="37" t="s">
        <v>43</v>
      </c>
      <c r="G175" s="37" t="s">
        <v>30</v>
      </c>
      <c r="H175" s="37">
        <v>5</v>
      </c>
      <c r="I175" s="37">
        <v>4000</v>
      </c>
      <c r="J175" s="37">
        <v>0.1</v>
      </c>
      <c r="K175" s="37">
        <f t="shared" si="5"/>
        <v>18000</v>
      </c>
      <c r="L175" s="37" t="s">
        <v>21</v>
      </c>
      <c r="M175" s="37" t="s">
        <v>33</v>
      </c>
      <c r="N175" s="4" t="str">
        <f>IF(I175=_xlfn.XLOOKUP(F175,Lists!$D$2:$D$13,Lists!$E$2:$E$13,"Not Found"),"OK","Check Price")</f>
        <v>Check Price</v>
      </c>
    </row>
    <row r="176" spans="1:14" ht="15.5" hidden="1" thickTop="1" thickBot="1" x14ac:dyDescent="0.4">
      <c r="A176" s="36" t="str">
        <f t="shared" si="4"/>
        <v>ORD0175</v>
      </c>
      <c r="B176" s="34">
        <v>45990</v>
      </c>
      <c r="C176" s="38" t="s">
        <v>73</v>
      </c>
      <c r="D176" s="38" t="s">
        <v>48</v>
      </c>
      <c r="E176" s="38" t="s">
        <v>29</v>
      </c>
      <c r="F176" s="38" t="s">
        <v>57</v>
      </c>
      <c r="G176" s="38" t="s">
        <v>30</v>
      </c>
      <c r="H176" s="38">
        <v>2</v>
      </c>
      <c r="I176" s="38">
        <v>2000</v>
      </c>
      <c r="J176" s="38">
        <v>0.05</v>
      </c>
      <c r="K176" s="38">
        <f t="shared" si="5"/>
        <v>3800</v>
      </c>
      <c r="L176" s="38" t="s">
        <v>21</v>
      </c>
      <c r="M176" s="38" t="s">
        <v>38</v>
      </c>
      <c r="N176" s="4" t="str">
        <f>IF(I176=_xlfn.XLOOKUP(F176,Lists!$D$2:$D$13,Lists!$E$2:$E$13,"Not Found"),"OK","Check Price")</f>
        <v>OK</v>
      </c>
    </row>
    <row r="177" spans="1:14" ht="15.5" hidden="1" thickTop="1" thickBot="1" x14ac:dyDescent="0.4">
      <c r="A177" s="36" t="str">
        <f t="shared" si="4"/>
        <v>ORD0176</v>
      </c>
      <c r="B177" s="34">
        <v>45468</v>
      </c>
      <c r="C177" s="37" t="s">
        <v>73</v>
      </c>
      <c r="D177" s="37" t="s">
        <v>42</v>
      </c>
      <c r="E177" s="37" t="s">
        <v>80</v>
      </c>
      <c r="F177" s="37" t="s">
        <v>52</v>
      </c>
      <c r="G177" s="37" t="s">
        <v>30</v>
      </c>
      <c r="H177" s="37">
        <v>10</v>
      </c>
      <c r="I177" s="37">
        <v>1500</v>
      </c>
      <c r="J177" s="37">
        <v>0.15</v>
      </c>
      <c r="K177" s="37">
        <f t="shared" si="5"/>
        <v>12750</v>
      </c>
      <c r="L177" s="37" t="s">
        <v>32</v>
      </c>
      <c r="M177" s="37" t="s">
        <v>22</v>
      </c>
      <c r="N177" s="4" t="str">
        <f>IF(I177=_xlfn.XLOOKUP(F177,Lists!$D$2:$D$13,Lists!$E$2:$E$13,"Not Found"),"OK","Check Price")</f>
        <v>Check Price</v>
      </c>
    </row>
    <row r="178" spans="1:14" ht="15.5" hidden="1" thickTop="1" thickBot="1" x14ac:dyDescent="0.4">
      <c r="A178" s="36" t="str">
        <f t="shared" si="4"/>
        <v>ORD0177</v>
      </c>
      <c r="B178" s="34">
        <v>45955</v>
      </c>
      <c r="C178" s="38" t="s">
        <v>60</v>
      </c>
      <c r="D178" s="38" t="s">
        <v>28</v>
      </c>
      <c r="E178" s="38" t="s">
        <v>80</v>
      </c>
      <c r="F178" s="38" t="s">
        <v>31</v>
      </c>
      <c r="G178" s="38" t="s">
        <v>30</v>
      </c>
      <c r="H178" s="38">
        <v>3</v>
      </c>
      <c r="I178" s="38">
        <v>1200</v>
      </c>
      <c r="J178" s="38">
        <v>0.05</v>
      </c>
      <c r="K178" s="38">
        <f t="shared" si="5"/>
        <v>3420</v>
      </c>
      <c r="L178" s="38" t="s">
        <v>44</v>
      </c>
      <c r="M178" s="38" t="s">
        <v>27</v>
      </c>
      <c r="N178" s="4" t="str">
        <f>IF(I178=_xlfn.XLOOKUP(F178,Lists!$D$2:$D$13,Lists!$E$2:$E$13,"Not Found"),"OK","Check Price")</f>
        <v>Check Price</v>
      </c>
    </row>
    <row r="179" spans="1:14" ht="15.5" thickTop="1" thickBot="1" x14ac:dyDescent="0.4">
      <c r="A179" s="36" t="str">
        <f t="shared" si="4"/>
        <v>ORD0178</v>
      </c>
      <c r="B179" s="34">
        <v>45813</v>
      </c>
      <c r="C179" s="37" t="s">
        <v>69</v>
      </c>
      <c r="D179" s="37" t="s">
        <v>39</v>
      </c>
      <c r="E179" s="37" t="s">
        <v>79</v>
      </c>
      <c r="F179" s="37" t="s">
        <v>20</v>
      </c>
      <c r="G179" s="35" t="str">
        <f>_xlfn.XLOOKUP(F179,Lists!$J$2:$J$13,Lists!$K$2:$K$13,"Not Found")</f>
        <v>Electronics</v>
      </c>
      <c r="H179" s="37">
        <v>4</v>
      </c>
      <c r="I179" s="35">
        <f>_xlfn.XLOOKUP(F179,Lists!$D$2:$D$13,Lists!$E$2:$E$13,"Not Found")</f>
        <v>85000</v>
      </c>
      <c r="J179" s="47">
        <v>0.05</v>
      </c>
      <c r="K179" s="35">
        <f>H179*I179*(1-J179)</f>
        <v>323000</v>
      </c>
      <c r="L179" s="37" t="s">
        <v>53</v>
      </c>
      <c r="M179" s="37" t="s">
        <v>22</v>
      </c>
      <c r="N179" s="4" t="str">
        <f>IF(I179=_xlfn.XLOOKUP(F179,Lists!$D$2:$D$13,Lists!$E$2:$E$13,"Not Found"),"OK","Check Price")</f>
        <v>OK</v>
      </c>
    </row>
    <row r="180" spans="1:14" ht="15.5" hidden="1" thickTop="1" thickBot="1" x14ac:dyDescent="0.4">
      <c r="A180" s="36" t="str">
        <f t="shared" si="4"/>
        <v>ORD0179</v>
      </c>
      <c r="B180" s="34">
        <v>45731</v>
      </c>
      <c r="C180" s="38" t="s">
        <v>75</v>
      </c>
      <c r="D180" s="38" t="s">
        <v>42</v>
      </c>
      <c r="E180" s="38" t="s">
        <v>35</v>
      </c>
      <c r="F180" s="38" t="s">
        <v>25</v>
      </c>
      <c r="G180" s="38" t="s">
        <v>24</v>
      </c>
      <c r="H180" s="38">
        <v>8</v>
      </c>
      <c r="I180" s="38">
        <v>30000</v>
      </c>
      <c r="J180" s="38">
        <v>0.15</v>
      </c>
      <c r="K180" s="38">
        <f t="shared" si="5"/>
        <v>204000</v>
      </c>
      <c r="L180" s="38" t="s">
        <v>32</v>
      </c>
      <c r="M180" s="38" t="s">
        <v>38</v>
      </c>
      <c r="N180" s="4" t="str">
        <f>IF(I180=_xlfn.XLOOKUP(F180,Lists!$D$2:$D$13,Lists!$E$2:$E$13,"Not Found"),"OK","Check Price")</f>
        <v>OK</v>
      </c>
    </row>
    <row r="181" spans="1:14" ht="15.5" hidden="1" thickTop="1" thickBot="1" x14ac:dyDescent="0.4">
      <c r="A181" s="36" t="str">
        <f t="shared" si="4"/>
        <v>ORD0180</v>
      </c>
      <c r="B181" s="34">
        <v>46010</v>
      </c>
      <c r="C181" s="37" t="s">
        <v>71</v>
      </c>
      <c r="D181" s="37" t="s">
        <v>39</v>
      </c>
      <c r="E181" s="37" t="s">
        <v>119</v>
      </c>
      <c r="F181" s="37" t="s">
        <v>31</v>
      </c>
      <c r="G181" s="37" t="s">
        <v>24</v>
      </c>
      <c r="H181" s="37">
        <v>3</v>
      </c>
      <c r="I181" s="37">
        <v>22000</v>
      </c>
      <c r="J181" s="37">
        <v>0.2</v>
      </c>
      <c r="K181" s="37">
        <f t="shared" si="5"/>
        <v>52800</v>
      </c>
      <c r="L181" s="37" t="s">
        <v>21</v>
      </c>
      <c r="M181" s="37" t="s">
        <v>27</v>
      </c>
      <c r="N181" s="4" t="str">
        <f>IF(I181=_xlfn.XLOOKUP(F181,Lists!$D$2:$D$13,Lists!$E$2:$E$13,"Not Found"),"OK","Check Price")</f>
        <v>Check Price</v>
      </c>
    </row>
    <row r="182" spans="1:14" ht="15.5" thickTop="1" thickBot="1" x14ac:dyDescent="0.4">
      <c r="A182" s="36" t="str">
        <f t="shared" si="4"/>
        <v>ORD0181</v>
      </c>
      <c r="B182" s="34">
        <v>45376</v>
      </c>
      <c r="C182" s="38" t="s">
        <v>76</v>
      </c>
      <c r="D182" s="38" t="s">
        <v>48</v>
      </c>
      <c r="E182" s="38" t="s">
        <v>80</v>
      </c>
      <c r="F182" s="38" t="s">
        <v>46</v>
      </c>
      <c r="G182" s="35" t="str">
        <f>_xlfn.XLOOKUP(F182,Lists!$J$2:$J$13,Lists!$K$2:$K$13,"Not Found")</f>
        <v>Furniture</v>
      </c>
      <c r="H182" s="38">
        <v>9</v>
      </c>
      <c r="I182" s="35">
        <f>_xlfn.XLOOKUP(F182,Lists!$D$2:$D$13,Lists!$E$2:$E$13,"Not Found")</f>
        <v>22000</v>
      </c>
      <c r="J182" s="48">
        <v>0.05</v>
      </c>
      <c r="K182" s="35">
        <f t="shared" si="5"/>
        <v>188100</v>
      </c>
      <c r="L182" s="38" t="s">
        <v>53</v>
      </c>
      <c r="M182" s="38" t="s">
        <v>33</v>
      </c>
      <c r="N182" s="4" t="str">
        <f>IF(I182=_xlfn.XLOOKUP(F182,Lists!$D$2:$D$13,Lists!$E$2:$E$13,"Not Found"),"OK","Check Price")</f>
        <v>OK</v>
      </c>
    </row>
    <row r="183" spans="1:14" ht="15.5" thickTop="1" thickBot="1" x14ac:dyDescent="0.4">
      <c r="A183" s="36" t="str">
        <f t="shared" si="4"/>
        <v>ORD0182</v>
      </c>
      <c r="B183" s="34">
        <v>45633</v>
      </c>
      <c r="C183" s="37" t="s">
        <v>67</v>
      </c>
      <c r="D183" s="37" t="s">
        <v>23</v>
      </c>
      <c r="E183" s="37" t="s">
        <v>119</v>
      </c>
      <c r="F183" s="37" t="s">
        <v>20</v>
      </c>
      <c r="G183" s="35" t="str">
        <f>_xlfn.XLOOKUP(F183,Lists!$J$2:$J$13,Lists!$K$2:$K$13,"Not Found")</f>
        <v>Electronics</v>
      </c>
      <c r="H183" s="37">
        <v>9</v>
      </c>
      <c r="I183" s="35">
        <f>_xlfn.XLOOKUP(F183,Lists!$D$2:$D$13,Lists!$E$2:$E$13,"Not Found")</f>
        <v>85000</v>
      </c>
      <c r="J183" s="47">
        <v>0.25</v>
      </c>
      <c r="K183" s="35">
        <f t="shared" si="5"/>
        <v>573750</v>
      </c>
      <c r="L183" s="37" t="s">
        <v>21</v>
      </c>
      <c r="M183" s="37" t="s">
        <v>33</v>
      </c>
      <c r="N183" s="4" t="str">
        <f>IF(I183=_xlfn.XLOOKUP(F183,Lists!$D$2:$D$13,Lists!$E$2:$E$13,"Not Found"),"OK","Check Price")</f>
        <v>OK</v>
      </c>
    </row>
    <row r="184" spans="1:14" ht="15.5" hidden="1" thickTop="1" thickBot="1" x14ac:dyDescent="0.4">
      <c r="A184" s="36" t="str">
        <f t="shared" si="4"/>
        <v>ORD0183</v>
      </c>
      <c r="B184" s="34">
        <v>45655</v>
      </c>
      <c r="C184" s="38" t="s">
        <v>59</v>
      </c>
      <c r="D184" s="38" t="s">
        <v>23</v>
      </c>
      <c r="E184" s="38" t="s">
        <v>119</v>
      </c>
      <c r="F184" s="38" t="s">
        <v>25</v>
      </c>
      <c r="G184" s="38" t="s">
        <v>24</v>
      </c>
      <c r="H184" s="38">
        <v>9</v>
      </c>
      <c r="I184" s="38">
        <v>2000</v>
      </c>
      <c r="J184" s="38">
        <v>0.2</v>
      </c>
      <c r="K184" s="38">
        <f t="shared" si="5"/>
        <v>14400</v>
      </c>
      <c r="L184" s="38" t="s">
        <v>41</v>
      </c>
      <c r="M184" s="38" t="s">
        <v>27</v>
      </c>
      <c r="N184" s="4" t="str">
        <f>IF(I184=_xlfn.XLOOKUP(F184,Lists!$D$2:$D$13,Lists!$E$2:$E$13,"Not Found"),"OK","Check Price")</f>
        <v>Check Price</v>
      </c>
    </row>
    <row r="185" spans="1:14" ht="15.5" hidden="1" thickTop="1" thickBot="1" x14ac:dyDescent="0.4">
      <c r="A185" s="36" t="str">
        <f t="shared" si="4"/>
        <v>ORD0184</v>
      </c>
      <c r="B185" s="34">
        <v>45547</v>
      </c>
      <c r="C185" s="37" t="s">
        <v>71</v>
      </c>
      <c r="D185" s="37" t="s">
        <v>54</v>
      </c>
      <c r="E185" s="37" t="s">
        <v>29</v>
      </c>
      <c r="F185" s="37" t="s">
        <v>49</v>
      </c>
      <c r="G185" s="37" t="s">
        <v>30</v>
      </c>
      <c r="H185" s="37">
        <v>9</v>
      </c>
      <c r="I185" s="37">
        <v>350</v>
      </c>
      <c r="J185" s="37">
        <v>0.2</v>
      </c>
      <c r="K185" s="37">
        <f t="shared" si="5"/>
        <v>2520</v>
      </c>
      <c r="L185" s="37" t="s">
        <v>37</v>
      </c>
      <c r="M185" s="37" t="s">
        <v>22</v>
      </c>
      <c r="N185" s="4" t="str">
        <f>IF(I185=_xlfn.XLOOKUP(F185,Lists!$D$2:$D$13,Lists!$E$2:$E$13,"Not Found"),"OK","Check Price")</f>
        <v>OK</v>
      </c>
    </row>
    <row r="186" spans="1:14" ht="15.5" hidden="1" thickTop="1" thickBot="1" x14ac:dyDescent="0.4">
      <c r="A186" s="36" t="str">
        <f t="shared" si="4"/>
        <v>ORD0185</v>
      </c>
      <c r="B186" s="34">
        <v>45952</v>
      </c>
      <c r="C186" s="38" t="s">
        <v>63</v>
      </c>
      <c r="D186" s="38" t="s">
        <v>23</v>
      </c>
      <c r="E186" s="38" t="s">
        <v>119</v>
      </c>
      <c r="F186" s="38" t="s">
        <v>57</v>
      </c>
      <c r="G186" s="38" t="s">
        <v>24</v>
      </c>
      <c r="H186" s="38">
        <v>8</v>
      </c>
      <c r="I186" s="38">
        <v>2500</v>
      </c>
      <c r="J186" s="38">
        <v>0.1</v>
      </c>
      <c r="K186" s="38">
        <f t="shared" si="5"/>
        <v>18000</v>
      </c>
      <c r="L186" s="38" t="s">
        <v>44</v>
      </c>
      <c r="M186" s="38" t="s">
        <v>27</v>
      </c>
      <c r="N186" s="4" t="str">
        <f>IF(I186=_xlfn.XLOOKUP(F186,Lists!$D$2:$D$13,Lists!$E$2:$E$13,"Not Found"),"OK","Check Price")</f>
        <v>Check Price</v>
      </c>
    </row>
    <row r="187" spans="1:14" ht="15.5" hidden="1" thickTop="1" thickBot="1" x14ac:dyDescent="0.4">
      <c r="A187" s="36" t="str">
        <f t="shared" si="4"/>
        <v>ORD0186</v>
      </c>
      <c r="B187" s="34">
        <v>45505</v>
      </c>
      <c r="C187" s="37" t="s">
        <v>60</v>
      </c>
      <c r="D187" s="37" t="s">
        <v>51</v>
      </c>
      <c r="E187" s="37" t="s">
        <v>35</v>
      </c>
      <c r="F187" s="37" t="s">
        <v>25</v>
      </c>
      <c r="G187" s="37" t="s">
        <v>24</v>
      </c>
      <c r="H187" s="37">
        <v>3</v>
      </c>
      <c r="I187" s="37">
        <v>4000</v>
      </c>
      <c r="J187" s="37">
        <v>0.05</v>
      </c>
      <c r="K187" s="37">
        <f t="shared" si="5"/>
        <v>11400</v>
      </c>
      <c r="L187" s="37" t="s">
        <v>32</v>
      </c>
      <c r="M187" s="37" t="s">
        <v>38</v>
      </c>
      <c r="N187" s="4" t="str">
        <f>IF(I187=_xlfn.XLOOKUP(F187,Lists!$D$2:$D$13,Lists!$E$2:$E$13,"Not Found"),"OK","Check Price")</f>
        <v>Check Price</v>
      </c>
    </row>
    <row r="188" spans="1:14" ht="15.5" hidden="1" thickTop="1" thickBot="1" x14ac:dyDescent="0.4">
      <c r="A188" s="36" t="str">
        <f t="shared" si="4"/>
        <v>ORD0187</v>
      </c>
      <c r="B188" s="34">
        <v>45661</v>
      </c>
      <c r="C188" s="38" t="s">
        <v>63</v>
      </c>
      <c r="D188" s="38" t="s">
        <v>48</v>
      </c>
      <c r="E188" s="38" t="s">
        <v>79</v>
      </c>
      <c r="F188" s="38" t="s">
        <v>25</v>
      </c>
      <c r="G188" s="38" t="s">
        <v>19</v>
      </c>
      <c r="H188" s="38">
        <v>9</v>
      </c>
      <c r="I188" s="38">
        <v>4000</v>
      </c>
      <c r="J188" s="38">
        <v>0.25</v>
      </c>
      <c r="K188" s="38">
        <f t="shared" si="5"/>
        <v>27000</v>
      </c>
      <c r="L188" s="38" t="s">
        <v>32</v>
      </c>
      <c r="M188" s="38" t="s">
        <v>27</v>
      </c>
      <c r="N188" s="4" t="str">
        <f>IF(I188=_xlfn.XLOOKUP(F188,Lists!$D$2:$D$13,Lists!$E$2:$E$13,"Not Found"),"OK","Check Price")</f>
        <v>Check Price</v>
      </c>
    </row>
    <row r="189" spans="1:14" ht="15.5" hidden="1" thickTop="1" thickBot="1" x14ac:dyDescent="0.4">
      <c r="A189" s="36" t="str">
        <f t="shared" si="4"/>
        <v>ORD0188</v>
      </c>
      <c r="B189" s="34">
        <v>45328</v>
      </c>
      <c r="C189" s="37" t="s">
        <v>62</v>
      </c>
      <c r="D189" s="37" t="s">
        <v>51</v>
      </c>
      <c r="E189" s="37" t="s">
        <v>35</v>
      </c>
      <c r="F189" s="37" t="s">
        <v>40</v>
      </c>
      <c r="G189" s="37" t="s">
        <v>24</v>
      </c>
      <c r="H189" s="37">
        <v>3</v>
      </c>
      <c r="I189" s="37">
        <v>1500</v>
      </c>
      <c r="J189" s="37">
        <v>0.2</v>
      </c>
      <c r="K189" s="37">
        <f t="shared" si="5"/>
        <v>3600</v>
      </c>
      <c r="L189" s="37" t="s">
        <v>53</v>
      </c>
      <c r="M189" s="37" t="s">
        <v>33</v>
      </c>
      <c r="N189" s="4" t="str">
        <f>IF(I189=_xlfn.XLOOKUP(F189,Lists!$D$2:$D$13,Lists!$E$2:$E$13,"Not Found"),"OK","Check Price")</f>
        <v>Check Price</v>
      </c>
    </row>
    <row r="190" spans="1:14" ht="15.5" hidden="1" thickTop="1" thickBot="1" x14ac:dyDescent="0.4">
      <c r="A190" s="36" t="str">
        <f t="shared" si="4"/>
        <v>ORD0189</v>
      </c>
      <c r="B190" s="34">
        <v>45740</v>
      </c>
      <c r="C190" s="38" t="s">
        <v>59</v>
      </c>
      <c r="D190" s="38" t="s">
        <v>42</v>
      </c>
      <c r="E190" s="38" t="s">
        <v>80</v>
      </c>
      <c r="F190" s="38" t="s">
        <v>57</v>
      </c>
      <c r="G190" s="38" t="s">
        <v>24</v>
      </c>
      <c r="H190" s="38">
        <v>6</v>
      </c>
      <c r="I190" s="38">
        <v>4000</v>
      </c>
      <c r="J190" s="38">
        <v>0.05</v>
      </c>
      <c r="K190" s="38">
        <f t="shared" si="5"/>
        <v>22800</v>
      </c>
      <c r="L190" s="38" t="s">
        <v>53</v>
      </c>
      <c r="M190" s="38" t="s">
        <v>33</v>
      </c>
      <c r="N190" s="4" t="str">
        <f>IF(I190=_xlfn.XLOOKUP(F190,Lists!$D$2:$D$13,Lists!$E$2:$E$13,"Not Found"),"OK","Check Price")</f>
        <v>Check Price</v>
      </c>
    </row>
    <row r="191" spans="1:14" ht="15.5" hidden="1" thickTop="1" thickBot="1" x14ac:dyDescent="0.4">
      <c r="A191" s="36" t="str">
        <f t="shared" si="4"/>
        <v>ORD0190</v>
      </c>
      <c r="B191" s="34">
        <v>45531</v>
      </c>
      <c r="C191" s="37" t="s">
        <v>64</v>
      </c>
      <c r="D191" s="37" t="s">
        <v>17</v>
      </c>
      <c r="E191" s="37" t="s">
        <v>18</v>
      </c>
      <c r="F191" s="37" t="s">
        <v>49</v>
      </c>
      <c r="G191" s="37" t="s">
        <v>30</v>
      </c>
      <c r="H191" s="37">
        <v>1</v>
      </c>
      <c r="I191" s="37">
        <v>85000</v>
      </c>
      <c r="J191" s="37">
        <v>0.15</v>
      </c>
      <c r="K191" s="37">
        <f t="shared" si="5"/>
        <v>72250</v>
      </c>
      <c r="L191" s="37" t="s">
        <v>37</v>
      </c>
      <c r="M191" s="37" t="s">
        <v>27</v>
      </c>
      <c r="N191" s="4" t="str">
        <f>IF(I191=_xlfn.XLOOKUP(F191,Lists!$D$2:$D$13,Lists!$E$2:$E$13,"Not Found"),"OK","Check Price")</f>
        <v>Check Price</v>
      </c>
    </row>
    <row r="192" spans="1:14" ht="15.5" hidden="1" thickTop="1" thickBot="1" x14ac:dyDescent="0.4">
      <c r="A192" s="36" t="str">
        <f t="shared" si="4"/>
        <v>ORD0191</v>
      </c>
      <c r="B192" s="34">
        <v>45497</v>
      </c>
      <c r="C192" s="38" t="s">
        <v>77</v>
      </c>
      <c r="D192" s="38" t="s">
        <v>39</v>
      </c>
      <c r="E192" s="38" t="s">
        <v>79</v>
      </c>
      <c r="F192" s="38" t="s">
        <v>52</v>
      </c>
      <c r="G192" s="38" t="s">
        <v>30</v>
      </c>
      <c r="H192" s="38">
        <v>7</v>
      </c>
      <c r="I192" s="38">
        <v>85000</v>
      </c>
      <c r="J192" s="38">
        <v>0.2</v>
      </c>
      <c r="K192" s="38">
        <f t="shared" si="5"/>
        <v>476000</v>
      </c>
      <c r="L192" s="38" t="s">
        <v>21</v>
      </c>
      <c r="M192" s="38" t="s">
        <v>33</v>
      </c>
      <c r="N192" s="4" t="str">
        <f>IF(I192=_xlfn.XLOOKUP(F192,Lists!$D$2:$D$13,Lists!$E$2:$E$13,"Not Found"),"OK","Check Price")</f>
        <v>Check Price</v>
      </c>
    </row>
    <row r="193" spans="1:14" ht="15.5" thickTop="1" thickBot="1" x14ac:dyDescent="0.4">
      <c r="A193" s="36" t="str">
        <f t="shared" si="4"/>
        <v>ORD0192</v>
      </c>
      <c r="B193" s="34">
        <v>45388</v>
      </c>
      <c r="C193" s="37" t="s">
        <v>63</v>
      </c>
      <c r="D193" s="37" t="s">
        <v>17</v>
      </c>
      <c r="E193" s="37" t="s">
        <v>18</v>
      </c>
      <c r="F193" s="37" t="s">
        <v>46</v>
      </c>
      <c r="G193" s="35" t="str">
        <f>_xlfn.XLOOKUP(F193,Lists!$J$2:$J$13,Lists!$K$2:$K$13,"Not Found")</f>
        <v>Furniture</v>
      </c>
      <c r="H193" s="37">
        <v>6</v>
      </c>
      <c r="I193" s="35">
        <f>_xlfn.XLOOKUP(F193,Lists!$D$2:$D$13,Lists!$E$2:$E$13,"Not Found")</f>
        <v>22000</v>
      </c>
      <c r="J193" s="47">
        <v>0.05</v>
      </c>
      <c r="K193" s="35">
        <f t="shared" si="5"/>
        <v>125400</v>
      </c>
      <c r="L193" s="37" t="s">
        <v>37</v>
      </c>
      <c r="M193" s="37" t="s">
        <v>22</v>
      </c>
      <c r="N193" s="4" t="str">
        <f>IF(I193=_xlfn.XLOOKUP(F193,Lists!$D$2:$D$13,Lists!$E$2:$E$13,"Not Found"),"OK","Check Price")</f>
        <v>OK</v>
      </c>
    </row>
    <row r="194" spans="1:14" ht="15.5" thickTop="1" thickBot="1" x14ac:dyDescent="0.4">
      <c r="A194" s="36" t="str">
        <f t="shared" si="4"/>
        <v>ORD0193</v>
      </c>
      <c r="B194" s="34">
        <v>45638</v>
      </c>
      <c r="C194" s="38" t="s">
        <v>78</v>
      </c>
      <c r="D194" s="38" t="s">
        <v>51</v>
      </c>
      <c r="E194" s="38" t="s">
        <v>79</v>
      </c>
      <c r="F194" s="38" t="s">
        <v>55</v>
      </c>
      <c r="G194" s="35" t="str">
        <f>_xlfn.XLOOKUP(F194,Lists!$J$2:$J$13,Lists!$K$2:$K$13,"Not Found")</f>
        <v>Office Supplies</v>
      </c>
      <c r="H194" s="38">
        <v>9</v>
      </c>
      <c r="I194" s="35">
        <f>_xlfn.XLOOKUP(F194,Lists!$D$2:$D$13,Lists!$E$2:$E$13,"Not Found")</f>
        <v>1500</v>
      </c>
      <c r="J194" s="48">
        <v>0.1</v>
      </c>
      <c r="K194" s="35">
        <f t="shared" si="5"/>
        <v>12150</v>
      </c>
      <c r="L194" s="38" t="s">
        <v>37</v>
      </c>
      <c r="M194" s="38" t="s">
        <v>38</v>
      </c>
      <c r="N194" s="4" t="str">
        <f>IF(I194=_xlfn.XLOOKUP(F194,Lists!$D$2:$D$13,Lists!$E$2:$E$13,"Not Found"),"OK","Check Price")</f>
        <v>OK</v>
      </c>
    </row>
    <row r="195" spans="1:14" ht="15.5" hidden="1" thickTop="1" thickBot="1" x14ac:dyDescent="0.4">
      <c r="A195" s="36" t="str">
        <f t="shared" ref="A195:A258" si="6">"ORD"&amp;TEXT(ROW()-1,"0000")</f>
        <v>ORD0194</v>
      </c>
      <c r="B195" s="34">
        <v>45548</v>
      </c>
      <c r="C195" s="37" t="s">
        <v>68</v>
      </c>
      <c r="D195" s="37" t="s">
        <v>54</v>
      </c>
      <c r="E195" s="37" t="s">
        <v>35</v>
      </c>
      <c r="F195" s="37" t="s">
        <v>40</v>
      </c>
      <c r="G195" s="37" t="s">
        <v>19</v>
      </c>
      <c r="H195" s="37">
        <v>2</v>
      </c>
      <c r="I195" s="37">
        <v>2500</v>
      </c>
      <c r="J195" s="37">
        <v>0.05</v>
      </c>
      <c r="K195" s="37">
        <f t="shared" ref="K195:K257" si="7">H195*I195*(1-J195)</f>
        <v>4750</v>
      </c>
      <c r="L195" s="37" t="s">
        <v>53</v>
      </c>
      <c r="M195" s="37" t="s">
        <v>38</v>
      </c>
      <c r="N195" s="4" t="str">
        <f>IF(I195=_xlfn.XLOOKUP(F195,Lists!$D$2:$D$13,Lists!$E$2:$E$13,"Not Found"),"OK","Check Price")</f>
        <v>Check Price</v>
      </c>
    </row>
    <row r="196" spans="1:14" ht="15.5" hidden="1" thickTop="1" thickBot="1" x14ac:dyDescent="0.4">
      <c r="A196" s="36" t="str">
        <f t="shared" si="6"/>
        <v>ORD0195</v>
      </c>
      <c r="B196" s="34">
        <v>45512</v>
      </c>
      <c r="C196" s="38" t="s">
        <v>72</v>
      </c>
      <c r="D196" s="38" t="s">
        <v>48</v>
      </c>
      <c r="E196" s="38" t="s">
        <v>80</v>
      </c>
      <c r="F196" s="38" t="s">
        <v>58</v>
      </c>
      <c r="G196" s="38" t="s">
        <v>24</v>
      </c>
      <c r="H196" s="38">
        <v>7</v>
      </c>
      <c r="I196" s="38">
        <v>1200</v>
      </c>
      <c r="J196" s="38">
        <v>0.05</v>
      </c>
      <c r="K196" s="38">
        <f t="shared" si="7"/>
        <v>7980</v>
      </c>
      <c r="L196" s="38" t="s">
        <v>47</v>
      </c>
      <c r="M196" s="38" t="s">
        <v>22</v>
      </c>
      <c r="N196" s="4" t="str">
        <f>IF(I196=_xlfn.XLOOKUP(F196,Lists!$D$2:$D$13,Lists!$E$2:$E$13,"Not Found"),"OK","Check Price")</f>
        <v>Check Price</v>
      </c>
    </row>
    <row r="197" spans="1:14" ht="15.5" hidden="1" thickTop="1" thickBot="1" x14ac:dyDescent="0.4">
      <c r="A197" s="36" t="str">
        <f t="shared" si="6"/>
        <v>ORD0196</v>
      </c>
      <c r="B197" s="34">
        <v>46010</v>
      </c>
      <c r="C197" s="37" t="s">
        <v>63</v>
      </c>
      <c r="D197" s="37" t="s">
        <v>17</v>
      </c>
      <c r="E197" s="37" t="s">
        <v>80</v>
      </c>
      <c r="F197" s="37" t="s">
        <v>31</v>
      </c>
      <c r="G197" s="37" t="s">
        <v>19</v>
      </c>
      <c r="H197" s="37">
        <v>3</v>
      </c>
      <c r="I197" s="37">
        <v>1200</v>
      </c>
      <c r="J197" s="37">
        <v>0.05</v>
      </c>
      <c r="K197" s="37">
        <f t="shared" si="7"/>
        <v>3420</v>
      </c>
      <c r="L197" s="37" t="s">
        <v>21</v>
      </c>
      <c r="M197" s="37" t="s">
        <v>38</v>
      </c>
      <c r="N197" s="4" t="str">
        <f>IF(I197=_xlfn.XLOOKUP(F197,Lists!$D$2:$D$13,Lists!$E$2:$E$13,"Not Found"),"OK","Check Price")</f>
        <v>Check Price</v>
      </c>
    </row>
    <row r="198" spans="1:14" ht="15.5" hidden="1" thickTop="1" thickBot="1" x14ac:dyDescent="0.4">
      <c r="A198" s="36" t="str">
        <f t="shared" si="6"/>
        <v>ORD0197</v>
      </c>
      <c r="B198" s="34">
        <v>45482</v>
      </c>
      <c r="C198" s="38" t="s">
        <v>65</v>
      </c>
      <c r="D198" s="38" t="s">
        <v>45</v>
      </c>
      <c r="E198" s="38" t="s">
        <v>80</v>
      </c>
      <c r="F198" s="38" t="s">
        <v>43</v>
      </c>
      <c r="G198" s="38" t="s">
        <v>19</v>
      </c>
      <c r="H198" s="38">
        <v>9</v>
      </c>
      <c r="I198" s="38">
        <v>4000</v>
      </c>
      <c r="J198" s="38">
        <v>0.25</v>
      </c>
      <c r="K198" s="38">
        <f t="shared" si="7"/>
        <v>27000</v>
      </c>
      <c r="L198" s="38" t="s">
        <v>44</v>
      </c>
      <c r="M198" s="38" t="s">
        <v>38</v>
      </c>
      <c r="N198" s="4" t="str">
        <f>IF(I198=_xlfn.XLOOKUP(F198,Lists!$D$2:$D$13,Lists!$E$2:$E$13,"Not Found"),"OK","Check Price")</f>
        <v>Check Price</v>
      </c>
    </row>
    <row r="199" spans="1:14" ht="15.5" thickTop="1" thickBot="1" x14ac:dyDescent="0.4">
      <c r="A199" s="36" t="str">
        <f t="shared" si="6"/>
        <v>ORD0198</v>
      </c>
      <c r="B199" s="34">
        <v>45604</v>
      </c>
      <c r="C199" s="37" t="s">
        <v>62</v>
      </c>
      <c r="D199" s="37" t="s">
        <v>39</v>
      </c>
      <c r="E199" s="37" t="s">
        <v>18</v>
      </c>
      <c r="F199" s="37" t="s">
        <v>55</v>
      </c>
      <c r="G199" s="35" t="str">
        <f>_xlfn.XLOOKUP(F199,Lists!$J$2:$J$13,Lists!$K$2:$K$13,"Not Found")</f>
        <v>Office Supplies</v>
      </c>
      <c r="H199" s="37">
        <v>9</v>
      </c>
      <c r="I199" s="35">
        <f>_xlfn.XLOOKUP(F199,Lists!$D$2:$D$13,Lists!$E$2:$E$13,"Not Found")</f>
        <v>1500</v>
      </c>
      <c r="J199" s="47">
        <v>0.2</v>
      </c>
      <c r="K199" s="35">
        <f t="shared" si="7"/>
        <v>10800</v>
      </c>
      <c r="L199" s="37" t="s">
        <v>21</v>
      </c>
      <c r="M199" s="37" t="s">
        <v>27</v>
      </c>
      <c r="N199" s="4" t="str">
        <f>IF(I199=_xlfn.XLOOKUP(F199,Lists!$D$2:$D$13,Lists!$E$2:$E$13,"Not Found"),"OK","Check Price")</f>
        <v>OK</v>
      </c>
    </row>
    <row r="200" spans="1:14" ht="15.5" thickTop="1" thickBot="1" x14ac:dyDescent="0.4">
      <c r="A200" s="36" t="str">
        <f t="shared" si="6"/>
        <v>ORD0199</v>
      </c>
      <c r="B200" s="34">
        <v>45940</v>
      </c>
      <c r="C200" s="38" t="s">
        <v>71</v>
      </c>
      <c r="D200" s="38" t="s">
        <v>39</v>
      </c>
      <c r="E200" s="38" t="s">
        <v>119</v>
      </c>
      <c r="F200" s="38" t="s">
        <v>20</v>
      </c>
      <c r="G200" s="35" t="str">
        <f>_xlfn.XLOOKUP(F200,Lists!$J$2:$J$13,Lists!$K$2:$K$13,"Not Found")</f>
        <v>Electronics</v>
      </c>
      <c r="H200" s="38">
        <v>9</v>
      </c>
      <c r="I200" s="35">
        <f>_xlfn.XLOOKUP(F200,Lists!$D$2:$D$13,Lists!$E$2:$E$13,"Not Found")</f>
        <v>85000</v>
      </c>
      <c r="J200" s="48">
        <v>0.2</v>
      </c>
      <c r="K200" s="35">
        <f t="shared" si="7"/>
        <v>612000</v>
      </c>
      <c r="L200" s="38" t="s">
        <v>56</v>
      </c>
      <c r="M200" s="38" t="s">
        <v>33</v>
      </c>
      <c r="N200" s="4" t="str">
        <f>IF(I200=_xlfn.XLOOKUP(F200,Lists!$D$2:$D$13,Lists!$E$2:$E$13,"Not Found"),"OK","Check Price")</f>
        <v>OK</v>
      </c>
    </row>
    <row r="201" spans="1:14" ht="15.5" thickTop="1" thickBot="1" x14ac:dyDescent="0.4">
      <c r="A201" s="36" t="str">
        <f t="shared" si="6"/>
        <v>ORD0200</v>
      </c>
      <c r="B201" s="34">
        <v>45807</v>
      </c>
      <c r="C201" s="37" t="s">
        <v>63</v>
      </c>
      <c r="D201" s="37" t="s">
        <v>54</v>
      </c>
      <c r="E201" s="37" t="s">
        <v>80</v>
      </c>
      <c r="F201" s="37" t="s">
        <v>55</v>
      </c>
      <c r="G201" s="35" t="str">
        <f>_xlfn.XLOOKUP(F201,Lists!$J$2:$J$13,Lists!$K$2:$K$13,"Not Found")</f>
        <v>Office Supplies</v>
      </c>
      <c r="H201" s="37">
        <v>9</v>
      </c>
      <c r="I201" s="35">
        <f>_xlfn.XLOOKUP(F201,Lists!$D$2:$D$13,Lists!$E$2:$E$13,"Not Found")</f>
        <v>1500</v>
      </c>
      <c r="J201" s="47">
        <v>0.2</v>
      </c>
      <c r="K201" s="35">
        <f t="shared" si="7"/>
        <v>10800</v>
      </c>
      <c r="L201" s="37" t="s">
        <v>44</v>
      </c>
      <c r="M201" s="37" t="s">
        <v>33</v>
      </c>
      <c r="N201" s="4" t="str">
        <f>IF(I201=_xlfn.XLOOKUP(F201,Lists!$D$2:$D$13,Lists!$E$2:$E$13,"Not Found"),"OK","Check Price")</f>
        <v>OK</v>
      </c>
    </row>
    <row r="202" spans="1:14" ht="15.5" thickTop="1" thickBot="1" x14ac:dyDescent="0.4">
      <c r="A202" s="36" t="str">
        <f t="shared" si="6"/>
        <v>ORD0201</v>
      </c>
      <c r="B202" s="34">
        <v>45428</v>
      </c>
      <c r="C202" s="38" t="s">
        <v>73</v>
      </c>
      <c r="D202" s="38" t="s">
        <v>23</v>
      </c>
      <c r="E202" s="38" t="s">
        <v>79</v>
      </c>
      <c r="F202" s="38" t="s">
        <v>20</v>
      </c>
      <c r="G202" s="35" t="str">
        <f>_xlfn.XLOOKUP(F202,Lists!$J$2:$J$13,Lists!$K$2:$K$13,"Not Found")</f>
        <v>Electronics</v>
      </c>
      <c r="H202" s="38">
        <v>7</v>
      </c>
      <c r="I202" s="35">
        <f>_xlfn.XLOOKUP(F202,Lists!$D$2:$D$13,Lists!$E$2:$E$13,"Not Found")</f>
        <v>85000</v>
      </c>
      <c r="J202" s="48">
        <v>0.2</v>
      </c>
      <c r="K202" s="35">
        <f t="shared" si="7"/>
        <v>476000</v>
      </c>
      <c r="L202" s="38" t="s">
        <v>47</v>
      </c>
      <c r="M202" s="38" t="s">
        <v>33</v>
      </c>
      <c r="N202" s="4" t="str">
        <f>IF(I202=_xlfn.XLOOKUP(F202,Lists!$D$2:$D$13,Lists!$E$2:$E$13,"Not Found"),"OK","Check Price")</f>
        <v>OK</v>
      </c>
    </row>
    <row r="203" spans="1:14" ht="15.5" hidden="1" thickTop="1" thickBot="1" x14ac:dyDescent="0.4">
      <c r="A203" s="36" t="str">
        <f t="shared" si="6"/>
        <v>ORD0202</v>
      </c>
      <c r="B203" s="34">
        <v>45783</v>
      </c>
      <c r="C203" s="37" t="s">
        <v>75</v>
      </c>
      <c r="D203" s="37" t="s">
        <v>39</v>
      </c>
      <c r="E203" s="37" t="s">
        <v>35</v>
      </c>
      <c r="F203" s="37" t="s">
        <v>36</v>
      </c>
      <c r="G203" s="37" t="s">
        <v>24</v>
      </c>
      <c r="H203" s="37">
        <v>2</v>
      </c>
      <c r="I203" s="37">
        <v>4000</v>
      </c>
      <c r="J203" s="37">
        <v>0.1</v>
      </c>
      <c r="K203" s="37">
        <f t="shared" si="7"/>
        <v>7200</v>
      </c>
      <c r="L203" s="37" t="s">
        <v>37</v>
      </c>
      <c r="M203" s="37" t="s">
        <v>33</v>
      </c>
      <c r="N203" s="4" t="str">
        <f>IF(I203=_xlfn.XLOOKUP(F203,Lists!$D$2:$D$13,Lists!$E$2:$E$13,"Not Found"),"OK","Check Price")</f>
        <v>Check Price</v>
      </c>
    </row>
    <row r="204" spans="1:14" ht="15.5" hidden="1" thickTop="1" thickBot="1" x14ac:dyDescent="0.4">
      <c r="A204" s="36" t="str">
        <f t="shared" si="6"/>
        <v>ORD0203</v>
      </c>
      <c r="B204" s="34">
        <v>45481</v>
      </c>
      <c r="C204" s="38" t="s">
        <v>59</v>
      </c>
      <c r="D204" s="38" t="s">
        <v>34</v>
      </c>
      <c r="E204" s="38" t="s">
        <v>80</v>
      </c>
      <c r="F204" s="38" t="s">
        <v>49</v>
      </c>
      <c r="G204" s="38" t="s">
        <v>30</v>
      </c>
      <c r="H204" s="38">
        <v>8</v>
      </c>
      <c r="I204" s="38">
        <v>28000</v>
      </c>
      <c r="J204" s="38">
        <v>0.05</v>
      </c>
      <c r="K204" s="38">
        <f t="shared" si="7"/>
        <v>212800</v>
      </c>
      <c r="L204" s="38" t="s">
        <v>50</v>
      </c>
      <c r="M204" s="38" t="s">
        <v>33</v>
      </c>
      <c r="N204" s="4" t="str">
        <f>IF(I204=_xlfn.XLOOKUP(F204,Lists!$D$2:$D$13,Lists!$E$2:$E$13,"Not Found"),"OK","Check Price")</f>
        <v>Check Price</v>
      </c>
    </row>
    <row r="205" spans="1:14" ht="15.5" hidden="1" thickTop="1" thickBot="1" x14ac:dyDescent="0.4">
      <c r="A205" s="36" t="str">
        <f t="shared" si="6"/>
        <v>ORD0204</v>
      </c>
      <c r="B205" s="34">
        <v>45585</v>
      </c>
      <c r="C205" s="37" t="s">
        <v>76</v>
      </c>
      <c r="D205" s="37" t="s">
        <v>54</v>
      </c>
      <c r="E205" s="37" t="s">
        <v>35</v>
      </c>
      <c r="F205" s="37" t="s">
        <v>43</v>
      </c>
      <c r="G205" s="37" t="s">
        <v>19</v>
      </c>
      <c r="H205" s="37">
        <v>7</v>
      </c>
      <c r="I205" s="37">
        <v>12000</v>
      </c>
      <c r="J205" s="37">
        <v>0.25</v>
      </c>
      <c r="K205" s="37">
        <f t="shared" si="7"/>
        <v>63000</v>
      </c>
      <c r="L205" s="37" t="s">
        <v>41</v>
      </c>
      <c r="M205" s="37" t="s">
        <v>38</v>
      </c>
      <c r="N205" s="4" t="str">
        <f>IF(I205=_xlfn.XLOOKUP(F205,Lists!$D$2:$D$13,Lists!$E$2:$E$13,"Not Found"),"OK","Check Price")</f>
        <v>OK</v>
      </c>
    </row>
    <row r="206" spans="1:14" ht="15.5" thickTop="1" thickBot="1" x14ac:dyDescent="0.4">
      <c r="A206" s="36" t="str">
        <f t="shared" si="6"/>
        <v>ORD0205</v>
      </c>
      <c r="B206" s="34">
        <v>45507</v>
      </c>
      <c r="C206" s="38" t="s">
        <v>70</v>
      </c>
      <c r="D206" s="38" t="s">
        <v>48</v>
      </c>
      <c r="E206" s="38" t="s">
        <v>35</v>
      </c>
      <c r="F206" s="38" t="s">
        <v>20</v>
      </c>
      <c r="G206" s="35" t="str">
        <f>_xlfn.XLOOKUP(F206,Lists!$J$2:$J$13,Lists!$K$2:$K$13,"Not Found")</f>
        <v>Electronics</v>
      </c>
      <c r="H206" s="38">
        <v>9</v>
      </c>
      <c r="I206" s="35">
        <f>_xlfn.XLOOKUP(F206,Lists!$D$2:$D$13,Lists!$E$2:$E$13,"Not Found")</f>
        <v>85000</v>
      </c>
      <c r="J206" s="48">
        <v>0.1</v>
      </c>
      <c r="K206" s="35">
        <f>H206*I206*(1-J206)</f>
        <v>688500</v>
      </c>
      <c r="L206" s="38" t="s">
        <v>41</v>
      </c>
      <c r="M206" s="38" t="s">
        <v>27</v>
      </c>
      <c r="N206" s="4" t="str">
        <f>IF(I206=_xlfn.XLOOKUP(F206,Lists!$D$2:$D$13,Lists!$E$2:$E$13,"Not Found"),"OK","Check Price")</f>
        <v>OK</v>
      </c>
    </row>
    <row r="207" spans="1:14" ht="15.5" hidden="1" thickTop="1" thickBot="1" x14ac:dyDescent="0.4">
      <c r="A207" s="36" t="str">
        <f t="shared" si="6"/>
        <v>ORD0206</v>
      </c>
      <c r="B207" s="34">
        <v>45973</v>
      </c>
      <c r="C207" s="37" t="s">
        <v>63</v>
      </c>
      <c r="D207" s="37" t="s">
        <v>39</v>
      </c>
      <c r="E207" s="37" t="s">
        <v>18</v>
      </c>
      <c r="F207" s="37" t="s">
        <v>52</v>
      </c>
      <c r="G207" s="37" t="s">
        <v>24</v>
      </c>
      <c r="H207" s="37">
        <v>8</v>
      </c>
      <c r="I207" s="37">
        <v>12000</v>
      </c>
      <c r="J207" s="37">
        <v>0.1</v>
      </c>
      <c r="K207" s="37">
        <f t="shared" si="7"/>
        <v>86400</v>
      </c>
      <c r="L207" s="37" t="s">
        <v>21</v>
      </c>
      <c r="M207" s="37" t="s">
        <v>33</v>
      </c>
      <c r="N207" s="4" t="str">
        <f>IF(I207=_xlfn.XLOOKUP(F207,Lists!$D$2:$D$13,Lists!$E$2:$E$13,"Not Found"),"OK","Check Price")</f>
        <v>Check Price</v>
      </c>
    </row>
    <row r="208" spans="1:14" ht="15.5" thickTop="1" thickBot="1" x14ac:dyDescent="0.4">
      <c r="A208" s="36" t="str">
        <f t="shared" si="6"/>
        <v>ORD0207</v>
      </c>
      <c r="B208" s="34">
        <v>45647</v>
      </c>
      <c r="C208" s="38" t="s">
        <v>71</v>
      </c>
      <c r="D208" s="38" t="s">
        <v>51</v>
      </c>
      <c r="E208" s="38" t="s">
        <v>18</v>
      </c>
      <c r="F208" s="38" t="s">
        <v>55</v>
      </c>
      <c r="G208" s="35" t="str">
        <f>_xlfn.XLOOKUP(F208,Lists!$J$2:$J$13,Lists!$K$2:$K$13,"Not Found")</f>
        <v>Office Supplies</v>
      </c>
      <c r="H208" s="38">
        <v>2</v>
      </c>
      <c r="I208" s="35">
        <f>_xlfn.XLOOKUP(F208,Lists!$D$2:$D$13,Lists!$E$2:$E$13,"Not Found")</f>
        <v>1500</v>
      </c>
      <c r="J208" s="48">
        <v>0.15</v>
      </c>
      <c r="K208" s="35">
        <f>H208*I208*(1-J208)</f>
        <v>2550</v>
      </c>
      <c r="L208" s="38" t="s">
        <v>47</v>
      </c>
      <c r="M208" s="38" t="s">
        <v>33</v>
      </c>
      <c r="N208" s="4" t="str">
        <f>IF(I208=_xlfn.XLOOKUP(F208,Lists!$D$2:$D$13,Lists!$E$2:$E$13,"Not Found"),"OK","Check Price")</f>
        <v>OK</v>
      </c>
    </row>
    <row r="209" spans="1:14" ht="15.5" hidden="1" thickTop="1" thickBot="1" x14ac:dyDescent="0.4">
      <c r="A209" s="36" t="str">
        <f t="shared" si="6"/>
        <v>ORD0208</v>
      </c>
      <c r="B209" s="34">
        <v>45943</v>
      </c>
      <c r="C209" s="37" t="s">
        <v>70</v>
      </c>
      <c r="D209" s="37" t="s">
        <v>54</v>
      </c>
      <c r="E209" s="37" t="s">
        <v>35</v>
      </c>
      <c r="F209" s="37" t="s">
        <v>43</v>
      </c>
      <c r="G209" s="37" t="s">
        <v>19</v>
      </c>
      <c r="H209" s="37">
        <v>7</v>
      </c>
      <c r="I209" s="37">
        <v>22000</v>
      </c>
      <c r="J209" s="37">
        <v>0.15</v>
      </c>
      <c r="K209" s="37">
        <f t="shared" si="7"/>
        <v>130900</v>
      </c>
      <c r="L209" s="37" t="s">
        <v>56</v>
      </c>
      <c r="M209" s="37" t="s">
        <v>38</v>
      </c>
      <c r="N209" s="4" t="str">
        <f>IF(I209=_xlfn.XLOOKUP(F209,Lists!$D$2:$D$13,Lists!$E$2:$E$13,"Not Found"),"OK","Check Price")</f>
        <v>Check Price</v>
      </c>
    </row>
    <row r="210" spans="1:14" ht="15.5" hidden="1" thickTop="1" thickBot="1" x14ac:dyDescent="0.4">
      <c r="A210" s="36" t="str">
        <f t="shared" si="6"/>
        <v>ORD0209</v>
      </c>
      <c r="B210" s="34">
        <v>45504</v>
      </c>
      <c r="C210" s="38" t="s">
        <v>78</v>
      </c>
      <c r="D210" s="38" t="s">
        <v>42</v>
      </c>
      <c r="E210" s="38" t="s">
        <v>18</v>
      </c>
      <c r="F210" s="38" t="s">
        <v>58</v>
      </c>
      <c r="G210" s="38" t="s">
        <v>19</v>
      </c>
      <c r="H210" s="38">
        <v>9</v>
      </c>
      <c r="I210" s="38">
        <v>22000</v>
      </c>
      <c r="J210" s="38">
        <v>0.15</v>
      </c>
      <c r="K210" s="38">
        <f t="shared" si="7"/>
        <v>168300</v>
      </c>
      <c r="L210" s="38" t="s">
        <v>21</v>
      </c>
      <c r="M210" s="38" t="s">
        <v>22</v>
      </c>
      <c r="N210" s="4" t="str">
        <f>IF(I210=_xlfn.XLOOKUP(F210,Lists!$D$2:$D$13,Lists!$E$2:$E$13,"Not Found"),"OK","Check Price")</f>
        <v>Check Price</v>
      </c>
    </row>
    <row r="211" spans="1:14" ht="15.5" thickTop="1" thickBot="1" x14ac:dyDescent="0.4">
      <c r="A211" s="36" t="str">
        <f t="shared" si="6"/>
        <v>ORD0210</v>
      </c>
      <c r="B211" s="34">
        <v>45983</v>
      </c>
      <c r="C211" s="37" t="s">
        <v>62</v>
      </c>
      <c r="D211" s="37" t="s">
        <v>42</v>
      </c>
      <c r="E211" s="37" t="s">
        <v>119</v>
      </c>
      <c r="F211" s="37" t="s">
        <v>20</v>
      </c>
      <c r="G211" s="35" t="str">
        <f>_xlfn.XLOOKUP(F211,Lists!$J$2:$J$13,Lists!$K$2:$K$13,"Not Found")</f>
        <v>Electronics</v>
      </c>
      <c r="H211" s="37">
        <v>8</v>
      </c>
      <c r="I211" s="35">
        <f>_xlfn.XLOOKUP(F211,Lists!$D$2:$D$13,Lists!$E$2:$E$13,"Not Found")</f>
        <v>85000</v>
      </c>
      <c r="J211" s="47">
        <v>0.1</v>
      </c>
      <c r="K211" s="35">
        <f>H211*I211*(1-J211)</f>
        <v>612000</v>
      </c>
      <c r="L211" s="37" t="s">
        <v>44</v>
      </c>
      <c r="M211" s="37" t="s">
        <v>27</v>
      </c>
      <c r="N211" s="4" t="str">
        <f>IF(I211=_xlfn.XLOOKUP(F211,Lists!$D$2:$D$13,Lists!$E$2:$E$13,"Not Found"),"OK","Check Price")</f>
        <v>OK</v>
      </c>
    </row>
    <row r="212" spans="1:14" ht="15.5" hidden="1" thickTop="1" thickBot="1" x14ac:dyDescent="0.4">
      <c r="A212" s="36" t="str">
        <f t="shared" si="6"/>
        <v>ORD0211</v>
      </c>
      <c r="B212" s="34">
        <v>45952</v>
      </c>
      <c r="C212" s="38" t="s">
        <v>59</v>
      </c>
      <c r="D212" s="38" t="s">
        <v>45</v>
      </c>
      <c r="E212" s="38" t="s">
        <v>29</v>
      </c>
      <c r="F212" s="38" t="s">
        <v>31</v>
      </c>
      <c r="G212" s="38" t="s">
        <v>24</v>
      </c>
      <c r="H212" s="38">
        <v>4</v>
      </c>
      <c r="I212" s="38">
        <v>1500</v>
      </c>
      <c r="J212" s="38">
        <v>0.15</v>
      </c>
      <c r="K212" s="38">
        <f t="shared" si="7"/>
        <v>5100</v>
      </c>
      <c r="L212" s="38" t="s">
        <v>37</v>
      </c>
      <c r="M212" s="38" t="s">
        <v>22</v>
      </c>
      <c r="N212" s="4" t="str">
        <f>IF(I212=_xlfn.XLOOKUP(F212,Lists!$D$2:$D$13,Lists!$E$2:$E$13,"Not Found"),"OK","Check Price")</f>
        <v>Check Price</v>
      </c>
    </row>
    <row r="213" spans="1:14" ht="15.5" hidden="1" thickTop="1" thickBot="1" x14ac:dyDescent="0.4">
      <c r="A213" s="36" t="str">
        <f t="shared" si="6"/>
        <v>ORD0212</v>
      </c>
      <c r="B213" s="34">
        <v>45811</v>
      </c>
      <c r="C213" s="37" t="s">
        <v>70</v>
      </c>
      <c r="D213" s="37" t="s">
        <v>23</v>
      </c>
      <c r="E213" s="37" t="s">
        <v>18</v>
      </c>
      <c r="F213" s="37" t="s">
        <v>31</v>
      </c>
      <c r="G213" s="37" t="s">
        <v>30</v>
      </c>
      <c r="H213" s="37">
        <v>5</v>
      </c>
      <c r="I213" s="37">
        <v>2500</v>
      </c>
      <c r="J213" s="37">
        <v>0.15</v>
      </c>
      <c r="K213" s="37">
        <f t="shared" si="7"/>
        <v>10625</v>
      </c>
      <c r="L213" s="37" t="s">
        <v>47</v>
      </c>
      <c r="M213" s="37" t="s">
        <v>33</v>
      </c>
      <c r="N213" s="4" t="str">
        <f>IF(I213=_xlfn.XLOOKUP(F213,Lists!$D$2:$D$13,Lists!$E$2:$E$13,"Not Found"),"OK","Check Price")</f>
        <v>Check Price</v>
      </c>
    </row>
    <row r="214" spans="1:14" ht="15.5" thickTop="1" thickBot="1" x14ac:dyDescent="0.4">
      <c r="A214" s="36" t="str">
        <f t="shared" si="6"/>
        <v>ORD0213</v>
      </c>
      <c r="B214" s="34">
        <v>45491</v>
      </c>
      <c r="C214" s="38" t="s">
        <v>69</v>
      </c>
      <c r="D214" s="38" t="s">
        <v>48</v>
      </c>
      <c r="E214" s="38" t="s">
        <v>35</v>
      </c>
      <c r="F214" s="38" t="s">
        <v>55</v>
      </c>
      <c r="G214" s="35" t="str">
        <f>_xlfn.XLOOKUP(F214,Lists!$J$2:$J$13,Lists!$K$2:$K$13,"Not Found")</f>
        <v>Office Supplies</v>
      </c>
      <c r="H214" s="38">
        <v>1</v>
      </c>
      <c r="I214" s="35">
        <f>_xlfn.XLOOKUP(F214,Lists!$D$2:$D$13,Lists!$E$2:$E$13,"Not Found")</f>
        <v>1500</v>
      </c>
      <c r="J214" s="48">
        <v>0.05</v>
      </c>
      <c r="K214" s="35">
        <f>H214*I214*(1-J214)</f>
        <v>1425</v>
      </c>
      <c r="L214" s="38" t="s">
        <v>21</v>
      </c>
      <c r="M214" s="38" t="s">
        <v>38</v>
      </c>
      <c r="N214" s="4" t="str">
        <f>IF(I214=_xlfn.XLOOKUP(F214,Lists!$D$2:$D$13,Lists!$E$2:$E$13,"Not Found"),"OK","Check Price")</f>
        <v>OK</v>
      </c>
    </row>
    <row r="215" spans="1:14" ht="15.5" hidden="1" thickTop="1" thickBot="1" x14ac:dyDescent="0.4">
      <c r="A215" s="36" t="str">
        <f t="shared" si="6"/>
        <v>ORD0214</v>
      </c>
      <c r="B215" s="34">
        <v>45312</v>
      </c>
      <c r="C215" s="37" t="s">
        <v>65</v>
      </c>
      <c r="D215" s="37" t="s">
        <v>45</v>
      </c>
      <c r="E215" s="37" t="s">
        <v>18</v>
      </c>
      <c r="F215" s="37" t="s">
        <v>31</v>
      </c>
      <c r="G215" s="37" t="s">
        <v>19</v>
      </c>
      <c r="H215" s="37">
        <v>8</v>
      </c>
      <c r="I215" s="37">
        <v>1200</v>
      </c>
      <c r="J215" s="37">
        <v>0.15</v>
      </c>
      <c r="K215" s="37">
        <f t="shared" si="7"/>
        <v>8160</v>
      </c>
      <c r="L215" s="37" t="s">
        <v>37</v>
      </c>
      <c r="M215" s="37" t="s">
        <v>33</v>
      </c>
      <c r="N215" s="4" t="str">
        <f>IF(I215=_xlfn.XLOOKUP(F215,Lists!$D$2:$D$13,Lists!$E$2:$E$13,"Not Found"),"OK","Check Price")</f>
        <v>Check Price</v>
      </c>
    </row>
    <row r="216" spans="1:14" ht="15.5" hidden="1" thickTop="1" thickBot="1" x14ac:dyDescent="0.4">
      <c r="A216" s="36" t="str">
        <f t="shared" si="6"/>
        <v>ORD0215</v>
      </c>
      <c r="B216" s="34">
        <v>45333</v>
      </c>
      <c r="C216" s="38" t="s">
        <v>64</v>
      </c>
      <c r="D216" s="38" t="s">
        <v>45</v>
      </c>
      <c r="E216" s="38" t="s">
        <v>80</v>
      </c>
      <c r="F216" s="38" t="s">
        <v>49</v>
      </c>
      <c r="G216" s="38" t="s">
        <v>24</v>
      </c>
      <c r="H216" s="38">
        <v>3</v>
      </c>
      <c r="I216" s="38">
        <v>22000</v>
      </c>
      <c r="J216" s="38">
        <v>0.25</v>
      </c>
      <c r="K216" s="38">
        <f t="shared" si="7"/>
        <v>49500</v>
      </c>
      <c r="L216" s="38" t="s">
        <v>37</v>
      </c>
      <c r="M216" s="38" t="s">
        <v>38</v>
      </c>
      <c r="N216" s="4" t="str">
        <f>IF(I216=_xlfn.XLOOKUP(F216,Lists!$D$2:$D$13,Lists!$E$2:$E$13,"Not Found"),"OK","Check Price")</f>
        <v>Check Price</v>
      </c>
    </row>
    <row r="217" spans="1:14" ht="15.5" hidden="1" thickTop="1" thickBot="1" x14ac:dyDescent="0.4">
      <c r="A217" s="36" t="str">
        <f t="shared" si="6"/>
        <v>ORD0216</v>
      </c>
      <c r="B217" s="34">
        <v>45424</v>
      </c>
      <c r="C217" s="37" t="s">
        <v>72</v>
      </c>
      <c r="D217" s="37" t="s">
        <v>45</v>
      </c>
      <c r="E217" s="37" t="s">
        <v>18</v>
      </c>
      <c r="F217" s="37" t="s">
        <v>58</v>
      </c>
      <c r="G217" s="37" t="s">
        <v>19</v>
      </c>
      <c r="H217" s="37">
        <v>3</v>
      </c>
      <c r="I217" s="37">
        <v>1200</v>
      </c>
      <c r="J217" s="37">
        <v>0.2</v>
      </c>
      <c r="K217" s="37">
        <f t="shared" si="7"/>
        <v>2880</v>
      </c>
      <c r="L217" s="37" t="s">
        <v>37</v>
      </c>
      <c r="M217" s="37" t="s">
        <v>38</v>
      </c>
      <c r="N217" s="4" t="str">
        <f>IF(I217=_xlfn.XLOOKUP(F217,Lists!$D$2:$D$13,Lists!$E$2:$E$13,"Not Found"),"OK","Check Price")</f>
        <v>Check Price</v>
      </c>
    </row>
    <row r="218" spans="1:14" ht="15.5" hidden="1" thickTop="1" thickBot="1" x14ac:dyDescent="0.4">
      <c r="A218" s="36" t="str">
        <f t="shared" si="6"/>
        <v>ORD0217</v>
      </c>
      <c r="B218" s="34">
        <v>45732</v>
      </c>
      <c r="C218" s="38" t="s">
        <v>73</v>
      </c>
      <c r="D218" s="38" t="s">
        <v>54</v>
      </c>
      <c r="E218" s="38" t="s">
        <v>35</v>
      </c>
      <c r="F218" s="38" t="s">
        <v>25</v>
      </c>
      <c r="G218" s="38" t="s">
        <v>24</v>
      </c>
      <c r="H218" s="38">
        <v>2</v>
      </c>
      <c r="I218" s="38">
        <v>12000</v>
      </c>
      <c r="J218" s="38">
        <v>0.1</v>
      </c>
      <c r="K218" s="38">
        <f t="shared" si="7"/>
        <v>21600</v>
      </c>
      <c r="L218" s="38" t="s">
        <v>37</v>
      </c>
      <c r="M218" s="38" t="s">
        <v>22</v>
      </c>
      <c r="N218" s="4" t="str">
        <f>IF(I218=_xlfn.XLOOKUP(F218,Lists!$D$2:$D$13,Lists!$E$2:$E$13,"Not Found"),"OK","Check Price")</f>
        <v>Check Price</v>
      </c>
    </row>
    <row r="219" spans="1:14" ht="15.5" hidden="1" thickTop="1" thickBot="1" x14ac:dyDescent="0.4">
      <c r="A219" s="36" t="str">
        <f t="shared" si="6"/>
        <v>ORD0218</v>
      </c>
      <c r="B219" s="34">
        <v>45353</v>
      </c>
      <c r="C219" s="37" t="s">
        <v>66</v>
      </c>
      <c r="D219" s="37" t="s">
        <v>23</v>
      </c>
      <c r="E219" s="37" t="s">
        <v>35</v>
      </c>
      <c r="F219" s="37" t="s">
        <v>49</v>
      </c>
      <c r="G219" s="37" t="s">
        <v>19</v>
      </c>
      <c r="H219" s="37">
        <v>6</v>
      </c>
      <c r="I219" s="37">
        <v>1200</v>
      </c>
      <c r="J219" s="37">
        <v>0.05</v>
      </c>
      <c r="K219" s="37">
        <f t="shared" si="7"/>
        <v>6840</v>
      </c>
      <c r="L219" s="37" t="s">
        <v>41</v>
      </c>
      <c r="M219" s="37" t="s">
        <v>38</v>
      </c>
      <c r="N219" s="4" t="str">
        <f>IF(I219=_xlfn.XLOOKUP(F219,Lists!$D$2:$D$13,Lists!$E$2:$E$13,"Not Found"),"OK","Check Price")</f>
        <v>Check Price</v>
      </c>
    </row>
    <row r="220" spans="1:14" ht="15.5" hidden="1" thickTop="1" thickBot="1" x14ac:dyDescent="0.4">
      <c r="A220" s="36" t="str">
        <f t="shared" si="6"/>
        <v>ORD0219</v>
      </c>
      <c r="B220" s="34">
        <v>45724</v>
      </c>
      <c r="C220" s="38" t="s">
        <v>61</v>
      </c>
      <c r="D220" s="38" t="s">
        <v>34</v>
      </c>
      <c r="E220" s="38" t="s">
        <v>29</v>
      </c>
      <c r="F220" s="38" t="s">
        <v>49</v>
      </c>
      <c r="G220" s="38" t="s">
        <v>30</v>
      </c>
      <c r="H220" s="38">
        <v>8</v>
      </c>
      <c r="I220" s="38">
        <v>22000</v>
      </c>
      <c r="J220" s="38">
        <v>0.2</v>
      </c>
      <c r="K220" s="38">
        <f t="shared" si="7"/>
        <v>140800</v>
      </c>
      <c r="L220" s="38" t="s">
        <v>41</v>
      </c>
      <c r="M220" s="38" t="s">
        <v>27</v>
      </c>
      <c r="N220" s="4" t="str">
        <f>IF(I220=_xlfn.XLOOKUP(F220,Lists!$D$2:$D$13,Lists!$E$2:$E$13,"Not Found"),"OK","Check Price")</f>
        <v>Check Price</v>
      </c>
    </row>
    <row r="221" spans="1:14" ht="15.5" hidden="1" thickTop="1" thickBot="1" x14ac:dyDescent="0.4">
      <c r="A221" s="36" t="str">
        <f t="shared" si="6"/>
        <v>ORD0220</v>
      </c>
      <c r="B221" s="34">
        <v>45585</v>
      </c>
      <c r="C221" s="37" t="s">
        <v>77</v>
      </c>
      <c r="D221" s="37" t="s">
        <v>34</v>
      </c>
      <c r="E221" s="37" t="s">
        <v>29</v>
      </c>
      <c r="F221" s="37" t="s">
        <v>40</v>
      </c>
      <c r="G221" s="37" t="s">
        <v>19</v>
      </c>
      <c r="H221" s="37">
        <v>7</v>
      </c>
      <c r="I221" s="37">
        <v>5000</v>
      </c>
      <c r="J221" s="37">
        <v>0.15</v>
      </c>
      <c r="K221" s="37">
        <f t="shared" si="7"/>
        <v>29750</v>
      </c>
      <c r="L221" s="37" t="s">
        <v>53</v>
      </c>
      <c r="M221" s="37" t="s">
        <v>22</v>
      </c>
      <c r="N221" s="4" t="str">
        <f>IF(I221=_xlfn.XLOOKUP(F221,Lists!$D$2:$D$13,Lists!$E$2:$E$13,"Not Found"),"OK","Check Price")</f>
        <v>Check Price</v>
      </c>
    </row>
    <row r="222" spans="1:14" ht="15.5" thickTop="1" thickBot="1" x14ac:dyDescent="0.4">
      <c r="A222" s="36" t="str">
        <f t="shared" si="6"/>
        <v>ORD0221</v>
      </c>
      <c r="B222" s="34">
        <v>45398</v>
      </c>
      <c r="C222" s="38" t="s">
        <v>72</v>
      </c>
      <c r="D222" s="38" t="s">
        <v>42</v>
      </c>
      <c r="E222" s="38" t="s">
        <v>29</v>
      </c>
      <c r="F222" s="38" t="s">
        <v>20</v>
      </c>
      <c r="G222" s="35" t="str">
        <f>_xlfn.XLOOKUP(F222,Lists!$J$2:$J$13,Lists!$K$2:$K$13,"Not Found")</f>
        <v>Electronics</v>
      </c>
      <c r="H222" s="38">
        <v>7</v>
      </c>
      <c r="I222" s="35">
        <f>_xlfn.XLOOKUP(F222,Lists!$D$2:$D$13,Lists!$E$2:$E$13,"Not Found")</f>
        <v>85000</v>
      </c>
      <c r="J222" s="48">
        <v>0.15</v>
      </c>
      <c r="K222" s="35">
        <f>H222*I222*(1-J222)</f>
        <v>505750</v>
      </c>
      <c r="L222" s="38" t="s">
        <v>50</v>
      </c>
      <c r="M222" s="38" t="s">
        <v>27</v>
      </c>
      <c r="N222" s="4" t="str">
        <f>IF(I222=_xlfn.XLOOKUP(F222,Lists!$D$2:$D$13,Lists!$E$2:$E$13,"Not Found"),"OK","Check Price")</f>
        <v>OK</v>
      </c>
    </row>
    <row r="223" spans="1:14" ht="15.5" hidden="1" thickTop="1" thickBot="1" x14ac:dyDescent="0.4">
      <c r="A223" s="36" t="str">
        <f t="shared" si="6"/>
        <v>ORD0222</v>
      </c>
      <c r="B223" s="34">
        <v>45306</v>
      </c>
      <c r="C223" s="37" t="s">
        <v>62</v>
      </c>
      <c r="D223" s="37" t="s">
        <v>45</v>
      </c>
      <c r="E223" s="37" t="s">
        <v>80</v>
      </c>
      <c r="F223" s="37" t="s">
        <v>43</v>
      </c>
      <c r="G223" s="37" t="s">
        <v>19</v>
      </c>
      <c r="H223" s="37">
        <v>7</v>
      </c>
      <c r="I223" s="37">
        <v>1500</v>
      </c>
      <c r="J223" s="37">
        <v>0.15</v>
      </c>
      <c r="K223" s="37">
        <f t="shared" si="7"/>
        <v>8925</v>
      </c>
      <c r="L223" s="37" t="s">
        <v>37</v>
      </c>
      <c r="M223" s="37" t="s">
        <v>33</v>
      </c>
      <c r="N223" s="4" t="str">
        <f>IF(I223=_xlfn.XLOOKUP(F223,Lists!$D$2:$D$13,Lists!$E$2:$E$13,"Not Found"),"OK","Check Price")</f>
        <v>Check Price</v>
      </c>
    </row>
    <row r="224" spans="1:14" ht="15.5" hidden="1" thickTop="1" thickBot="1" x14ac:dyDescent="0.4">
      <c r="A224" s="36" t="str">
        <f t="shared" si="6"/>
        <v>ORD0223</v>
      </c>
      <c r="B224" s="34">
        <v>45338</v>
      </c>
      <c r="C224" s="38" t="s">
        <v>75</v>
      </c>
      <c r="D224" s="38" t="s">
        <v>51</v>
      </c>
      <c r="E224" s="38" t="s">
        <v>18</v>
      </c>
      <c r="F224" s="38" t="s">
        <v>43</v>
      </c>
      <c r="G224" s="38" t="s">
        <v>30</v>
      </c>
      <c r="H224" s="38">
        <v>5</v>
      </c>
      <c r="I224" s="38">
        <v>30000</v>
      </c>
      <c r="J224" s="38">
        <v>0.25</v>
      </c>
      <c r="K224" s="38">
        <f t="shared" si="7"/>
        <v>112500</v>
      </c>
      <c r="L224" s="38" t="s">
        <v>21</v>
      </c>
      <c r="M224" s="38" t="s">
        <v>33</v>
      </c>
      <c r="N224" s="4" t="str">
        <f>IF(I224=_xlfn.XLOOKUP(F224,Lists!$D$2:$D$13,Lists!$E$2:$E$13,"Not Found"),"OK","Check Price")</f>
        <v>Check Price</v>
      </c>
    </row>
    <row r="225" spans="1:14" ht="15.5" thickTop="1" thickBot="1" x14ac:dyDescent="0.4">
      <c r="A225" s="36" t="str">
        <f t="shared" si="6"/>
        <v>ORD0224</v>
      </c>
      <c r="B225" s="34">
        <v>45924</v>
      </c>
      <c r="C225" s="37" t="s">
        <v>78</v>
      </c>
      <c r="D225" s="37" t="s">
        <v>45</v>
      </c>
      <c r="E225" s="37" t="s">
        <v>80</v>
      </c>
      <c r="F225" s="37" t="s">
        <v>46</v>
      </c>
      <c r="G225" s="35" t="str">
        <f>_xlfn.XLOOKUP(F225,Lists!$J$2:$J$13,Lists!$K$2:$K$13,"Not Found")</f>
        <v>Furniture</v>
      </c>
      <c r="H225" s="37">
        <v>5</v>
      </c>
      <c r="I225" s="35">
        <f>_xlfn.XLOOKUP(F225,Lists!$D$2:$D$13,Lists!$E$2:$E$13,"Not Found")</f>
        <v>22000</v>
      </c>
      <c r="J225" s="47">
        <v>0.15</v>
      </c>
      <c r="K225" s="35">
        <f>H225*I225*(1-J225)</f>
        <v>93500</v>
      </c>
      <c r="L225" s="37" t="s">
        <v>56</v>
      </c>
      <c r="M225" s="37" t="s">
        <v>22</v>
      </c>
      <c r="N225" s="4" t="str">
        <f>IF(I225=_xlfn.XLOOKUP(F225,Lists!$D$2:$D$13,Lists!$E$2:$E$13,"Not Found"),"OK","Check Price")</f>
        <v>OK</v>
      </c>
    </row>
    <row r="226" spans="1:14" ht="15.5" hidden="1" thickTop="1" thickBot="1" x14ac:dyDescent="0.4">
      <c r="A226" s="36" t="str">
        <f t="shared" si="6"/>
        <v>ORD0225</v>
      </c>
      <c r="B226" s="34">
        <v>45864</v>
      </c>
      <c r="C226" s="38" t="s">
        <v>59</v>
      </c>
      <c r="D226" s="38" t="s">
        <v>17</v>
      </c>
      <c r="E226" s="38" t="s">
        <v>119</v>
      </c>
      <c r="F226" s="38" t="s">
        <v>58</v>
      </c>
      <c r="G226" s="38" t="s">
        <v>19</v>
      </c>
      <c r="H226" s="38">
        <v>9</v>
      </c>
      <c r="I226" s="38">
        <v>30000</v>
      </c>
      <c r="J226" s="38">
        <v>0.1</v>
      </c>
      <c r="K226" s="38">
        <f t="shared" si="7"/>
        <v>243000</v>
      </c>
      <c r="L226" s="38" t="s">
        <v>26</v>
      </c>
      <c r="M226" s="38" t="s">
        <v>27</v>
      </c>
      <c r="N226" s="4" t="str">
        <f>IF(I226=_xlfn.XLOOKUP(F226,Lists!$D$2:$D$13,Lists!$E$2:$E$13,"Not Found"),"OK","Check Price")</f>
        <v>Check Price</v>
      </c>
    </row>
    <row r="227" spans="1:14" ht="15.5" hidden="1" thickTop="1" thickBot="1" x14ac:dyDescent="0.4">
      <c r="A227" s="36" t="str">
        <f t="shared" si="6"/>
        <v>ORD0226</v>
      </c>
      <c r="B227" s="34">
        <v>45625</v>
      </c>
      <c r="C227" s="37" t="s">
        <v>59</v>
      </c>
      <c r="D227" s="37" t="s">
        <v>51</v>
      </c>
      <c r="E227" s="37" t="s">
        <v>18</v>
      </c>
      <c r="F227" s="37" t="s">
        <v>31</v>
      </c>
      <c r="G227" s="37" t="s">
        <v>19</v>
      </c>
      <c r="H227" s="37">
        <v>8</v>
      </c>
      <c r="I227" s="37">
        <v>4000</v>
      </c>
      <c r="J227" s="37">
        <v>0.2</v>
      </c>
      <c r="K227" s="37">
        <f t="shared" si="7"/>
        <v>25600</v>
      </c>
      <c r="L227" s="37" t="s">
        <v>56</v>
      </c>
      <c r="M227" s="37" t="s">
        <v>22</v>
      </c>
      <c r="N227" s="4" t="str">
        <f>IF(I227=_xlfn.XLOOKUP(F227,Lists!$D$2:$D$13,Lists!$E$2:$E$13,"Not Found"),"OK","Check Price")</f>
        <v>OK</v>
      </c>
    </row>
    <row r="228" spans="1:14" ht="15.5" hidden="1" thickTop="1" thickBot="1" x14ac:dyDescent="0.4">
      <c r="A228" s="36" t="str">
        <f t="shared" si="6"/>
        <v>ORD0227</v>
      </c>
      <c r="B228" s="34">
        <v>45366</v>
      </c>
      <c r="C228" s="38" t="s">
        <v>75</v>
      </c>
      <c r="D228" s="38" t="s">
        <v>23</v>
      </c>
      <c r="E228" s="38" t="s">
        <v>119</v>
      </c>
      <c r="F228" s="38" t="s">
        <v>49</v>
      </c>
      <c r="G228" s="38" t="s">
        <v>24</v>
      </c>
      <c r="H228" s="38">
        <v>2</v>
      </c>
      <c r="I228" s="38">
        <v>22000</v>
      </c>
      <c r="J228" s="38">
        <v>0.05</v>
      </c>
      <c r="K228" s="38">
        <f t="shared" si="7"/>
        <v>41800</v>
      </c>
      <c r="L228" s="38" t="s">
        <v>26</v>
      </c>
      <c r="M228" s="38" t="s">
        <v>38</v>
      </c>
      <c r="N228" s="4" t="str">
        <f>IF(I228=_xlfn.XLOOKUP(F228,Lists!$D$2:$D$13,Lists!$E$2:$E$13,"Not Found"),"OK","Check Price")</f>
        <v>Check Price</v>
      </c>
    </row>
    <row r="229" spans="1:14" ht="15.5" hidden="1" thickTop="1" thickBot="1" x14ac:dyDescent="0.4">
      <c r="A229" s="36" t="str">
        <f t="shared" si="6"/>
        <v>ORD0228</v>
      </c>
      <c r="B229" s="34">
        <v>45653</v>
      </c>
      <c r="C229" s="37" t="s">
        <v>76</v>
      </c>
      <c r="D229" s="37" t="s">
        <v>45</v>
      </c>
      <c r="E229" s="37" t="s">
        <v>35</v>
      </c>
      <c r="F229" s="37" t="s">
        <v>49</v>
      </c>
      <c r="G229" s="37" t="s">
        <v>30</v>
      </c>
      <c r="H229" s="37">
        <v>3</v>
      </c>
      <c r="I229" s="37">
        <v>5000</v>
      </c>
      <c r="J229" s="37">
        <v>0.2</v>
      </c>
      <c r="K229" s="37">
        <f t="shared" si="7"/>
        <v>12000</v>
      </c>
      <c r="L229" s="37" t="s">
        <v>41</v>
      </c>
      <c r="M229" s="37" t="s">
        <v>33</v>
      </c>
      <c r="N229" s="4" t="str">
        <f>IF(I229=_xlfn.XLOOKUP(F229,Lists!$D$2:$D$13,Lists!$E$2:$E$13,"Not Found"),"OK","Check Price")</f>
        <v>Check Price</v>
      </c>
    </row>
    <row r="230" spans="1:14" ht="15.5" hidden="1" thickTop="1" thickBot="1" x14ac:dyDescent="0.4">
      <c r="A230" s="36" t="str">
        <f t="shared" si="6"/>
        <v>ORD0229</v>
      </c>
      <c r="B230" s="34">
        <v>45299</v>
      </c>
      <c r="C230" s="38" t="s">
        <v>71</v>
      </c>
      <c r="D230" s="38" t="s">
        <v>48</v>
      </c>
      <c r="E230" s="38" t="s">
        <v>119</v>
      </c>
      <c r="F230" s="38" t="s">
        <v>31</v>
      </c>
      <c r="G230" s="38" t="s">
        <v>30</v>
      </c>
      <c r="H230" s="38">
        <v>3</v>
      </c>
      <c r="I230" s="38">
        <v>28000</v>
      </c>
      <c r="J230" s="38">
        <v>0.05</v>
      </c>
      <c r="K230" s="38">
        <f t="shared" si="7"/>
        <v>79800</v>
      </c>
      <c r="L230" s="38" t="s">
        <v>37</v>
      </c>
      <c r="M230" s="38" t="s">
        <v>27</v>
      </c>
      <c r="N230" s="4" t="str">
        <f>IF(I230=_xlfn.XLOOKUP(F230,Lists!$D$2:$D$13,Lists!$E$2:$E$13,"Not Found"),"OK","Check Price")</f>
        <v>Check Price</v>
      </c>
    </row>
    <row r="231" spans="1:14" ht="15.5" hidden="1" thickTop="1" thickBot="1" x14ac:dyDescent="0.4">
      <c r="A231" s="36" t="str">
        <f t="shared" si="6"/>
        <v>ORD0230</v>
      </c>
      <c r="B231" s="34">
        <v>45823</v>
      </c>
      <c r="C231" s="37" t="s">
        <v>59</v>
      </c>
      <c r="D231" s="37" t="s">
        <v>17</v>
      </c>
      <c r="E231" s="37" t="s">
        <v>80</v>
      </c>
      <c r="F231" s="37" t="s">
        <v>36</v>
      </c>
      <c r="G231" s="37" t="s">
        <v>19</v>
      </c>
      <c r="H231" s="37">
        <v>1</v>
      </c>
      <c r="I231" s="37">
        <v>22000</v>
      </c>
      <c r="J231" s="37">
        <v>0.1</v>
      </c>
      <c r="K231" s="37">
        <f t="shared" si="7"/>
        <v>19800</v>
      </c>
      <c r="L231" s="37" t="s">
        <v>32</v>
      </c>
      <c r="M231" s="37" t="s">
        <v>22</v>
      </c>
      <c r="N231" s="4" t="str">
        <f>IF(I231=_xlfn.XLOOKUP(F231,Lists!$D$2:$D$13,Lists!$E$2:$E$13,"Not Found"),"OK","Check Price")</f>
        <v>Check Price</v>
      </c>
    </row>
    <row r="232" spans="1:14" ht="15.5" hidden="1" thickTop="1" thickBot="1" x14ac:dyDescent="0.4">
      <c r="A232" s="36" t="str">
        <f t="shared" si="6"/>
        <v>ORD0231</v>
      </c>
      <c r="B232" s="34">
        <v>45681</v>
      </c>
      <c r="C232" s="38" t="s">
        <v>68</v>
      </c>
      <c r="D232" s="38" t="s">
        <v>17</v>
      </c>
      <c r="E232" s="38" t="s">
        <v>79</v>
      </c>
      <c r="F232" s="38" t="s">
        <v>49</v>
      </c>
      <c r="G232" s="38" t="s">
        <v>30</v>
      </c>
      <c r="H232" s="38">
        <v>4</v>
      </c>
      <c r="I232" s="38">
        <v>2500</v>
      </c>
      <c r="J232" s="38">
        <v>0.15</v>
      </c>
      <c r="K232" s="38">
        <f t="shared" si="7"/>
        <v>8500</v>
      </c>
      <c r="L232" s="38" t="s">
        <v>21</v>
      </c>
      <c r="M232" s="38" t="s">
        <v>33</v>
      </c>
      <c r="N232" s="4" t="str">
        <f>IF(I232=_xlfn.XLOOKUP(F232,Lists!$D$2:$D$13,Lists!$E$2:$E$13,"Not Found"),"OK","Check Price")</f>
        <v>Check Price</v>
      </c>
    </row>
    <row r="233" spans="1:14" ht="15.5" hidden="1" thickTop="1" thickBot="1" x14ac:dyDescent="0.4">
      <c r="A233" s="36" t="str">
        <f t="shared" si="6"/>
        <v>ORD0232</v>
      </c>
      <c r="B233" s="34">
        <v>45779</v>
      </c>
      <c r="C233" s="37" t="s">
        <v>66</v>
      </c>
      <c r="D233" s="37" t="s">
        <v>45</v>
      </c>
      <c r="E233" s="37" t="s">
        <v>119</v>
      </c>
      <c r="F233" s="37" t="s">
        <v>52</v>
      </c>
      <c r="G233" s="37" t="s">
        <v>19</v>
      </c>
      <c r="H233" s="37">
        <v>10</v>
      </c>
      <c r="I233" s="37">
        <v>28000</v>
      </c>
      <c r="J233" s="37">
        <v>0.05</v>
      </c>
      <c r="K233" s="37">
        <f t="shared" si="7"/>
        <v>266000</v>
      </c>
      <c r="L233" s="37" t="s">
        <v>53</v>
      </c>
      <c r="M233" s="37" t="s">
        <v>22</v>
      </c>
      <c r="N233" s="4" t="str">
        <f>IF(I233=_xlfn.XLOOKUP(F233,Lists!$D$2:$D$13,Lists!$E$2:$E$13,"Not Found"),"OK","Check Price")</f>
        <v>Check Price</v>
      </c>
    </row>
    <row r="234" spans="1:14" ht="15.5" hidden="1" thickTop="1" thickBot="1" x14ac:dyDescent="0.4">
      <c r="A234" s="36" t="str">
        <f t="shared" si="6"/>
        <v>ORD0233</v>
      </c>
      <c r="B234" s="34">
        <v>45806</v>
      </c>
      <c r="C234" s="38" t="s">
        <v>62</v>
      </c>
      <c r="D234" s="38" t="s">
        <v>42</v>
      </c>
      <c r="E234" s="38" t="s">
        <v>35</v>
      </c>
      <c r="F234" s="38" t="s">
        <v>36</v>
      </c>
      <c r="G234" s="38" t="s">
        <v>30</v>
      </c>
      <c r="H234" s="38">
        <v>2</v>
      </c>
      <c r="I234" s="38">
        <v>1200</v>
      </c>
      <c r="J234" s="38">
        <v>0.05</v>
      </c>
      <c r="K234" s="38">
        <f t="shared" si="7"/>
        <v>2280</v>
      </c>
      <c r="L234" s="38" t="s">
        <v>41</v>
      </c>
      <c r="M234" s="38" t="s">
        <v>38</v>
      </c>
      <c r="N234" s="4" t="str">
        <f>IF(I234=_xlfn.XLOOKUP(F234,Lists!$D$2:$D$13,Lists!$E$2:$E$13,"Not Found"),"OK","Check Price")</f>
        <v>Check Price</v>
      </c>
    </row>
    <row r="235" spans="1:14" ht="15.5" hidden="1" thickTop="1" thickBot="1" x14ac:dyDescent="0.4">
      <c r="A235" s="36" t="str">
        <f t="shared" si="6"/>
        <v>ORD0234</v>
      </c>
      <c r="B235" s="34">
        <v>45767</v>
      </c>
      <c r="C235" s="37" t="s">
        <v>68</v>
      </c>
      <c r="D235" s="37" t="s">
        <v>45</v>
      </c>
      <c r="E235" s="37" t="s">
        <v>79</v>
      </c>
      <c r="F235" s="37" t="s">
        <v>43</v>
      </c>
      <c r="G235" s="37" t="s">
        <v>30</v>
      </c>
      <c r="H235" s="37">
        <v>4</v>
      </c>
      <c r="I235" s="37">
        <v>350</v>
      </c>
      <c r="J235" s="37">
        <v>0.2</v>
      </c>
      <c r="K235" s="37">
        <f t="shared" si="7"/>
        <v>1120</v>
      </c>
      <c r="L235" s="37" t="s">
        <v>50</v>
      </c>
      <c r="M235" s="37" t="s">
        <v>33</v>
      </c>
      <c r="N235" s="4" t="str">
        <f>IF(I235=_xlfn.XLOOKUP(F235,Lists!$D$2:$D$13,Lists!$E$2:$E$13,"Not Found"),"OK","Check Price")</f>
        <v>Check Price</v>
      </c>
    </row>
    <row r="236" spans="1:14" ht="15.5" hidden="1" thickTop="1" thickBot="1" x14ac:dyDescent="0.4">
      <c r="A236" s="36" t="str">
        <f t="shared" si="6"/>
        <v>ORD0235</v>
      </c>
      <c r="B236" s="34">
        <v>45825</v>
      </c>
      <c r="C236" s="38" t="s">
        <v>63</v>
      </c>
      <c r="D236" s="38" t="s">
        <v>54</v>
      </c>
      <c r="E236" s="38" t="s">
        <v>35</v>
      </c>
      <c r="F236" s="38" t="s">
        <v>40</v>
      </c>
      <c r="G236" s="38" t="s">
        <v>24</v>
      </c>
      <c r="H236" s="38">
        <v>1</v>
      </c>
      <c r="I236" s="38">
        <v>350</v>
      </c>
      <c r="J236" s="38">
        <v>0.05</v>
      </c>
      <c r="K236" s="38">
        <f t="shared" si="7"/>
        <v>332.5</v>
      </c>
      <c r="L236" s="38" t="s">
        <v>26</v>
      </c>
      <c r="M236" s="38" t="s">
        <v>22</v>
      </c>
      <c r="N236" s="4" t="str">
        <f>IF(I236=_xlfn.XLOOKUP(F236,Lists!$D$2:$D$13,Lists!$E$2:$E$13,"Not Found"),"OK","Check Price")</f>
        <v>Check Price</v>
      </c>
    </row>
    <row r="237" spans="1:14" ht="15.5" thickTop="1" thickBot="1" x14ac:dyDescent="0.4">
      <c r="A237" s="36" t="str">
        <f t="shared" si="6"/>
        <v>ORD0236</v>
      </c>
      <c r="B237" s="34">
        <v>45453</v>
      </c>
      <c r="C237" s="37" t="s">
        <v>71</v>
      </c>
      <c r="D237" s="37" t="s">
        <v>54</v>
      </c>
      <c r="E237" s="37" t="s">
        <v>35</v>
      </c>
      <c r="F237" s="37" t="s">
        <v>20</v>
      </c>
      <c r="G237" s="35" t="str">
        <f>_xlfn.XLOOKUP(F237,Lists!$J$2:$J$13,Lists!$K$2:$K$13,"Not Found")</f>
        <v>Electronics</v>
      </c>
      <c r="H237" s="37">
        <v>10</v>
      </c>
      <c r="I237" s="35">
        <f>_xlfn.XLOOKUP(F237,Lists!$D$2:$D$13,Lists!$E$2:$E$13,"Not Found")</f>
        <v>85000</v>
      </c>
      <c r="J237" s="47">
        <v>0.2</v>
      </c>
      <c r="K237" s="35">
        <f>H237*I237*(1-J237)</f>
        <v>680000</v>
      </c>
      <c r="L237" s="37" t="s">
        <v>32</v>
      </c>
      <c r="M237" s="37" t="s">
        <v>22</v>
      </c>
      <c r="N237" s="4" t="str">
        <f>IF(I237=_xlfn.XLOOKUP(F237,Lists!$D$2:$D$13,Lists!$E$2:$E$13,"Not Found"),"OK","Check Price")</f>
        <v>OK</v>
      </c>
    </row>
    <row r="238" spans="1:14" ht="15.5" hidden="1" thickTop="1" thickBot="1" x14ac:dyDescent="0.4">
      <c r="A238" s="36" t="str">
        <f t="shared" si="6"/>
        <v>ORD0237</v>
      </c>
      <c r="B238" s="34">
        <v>45645</v>
      </c>
      <c r="C238" s="38" t="s">
        <v>78</v>
      </c>
      <c r="D238" s="38" t="s">
        <v>51</v>
      </c>
      <c r="E238" s="38" t="s">
        <v>18</v>
      </c>
      <c r="F238" s="38" t="s">
        <v>31</v>
      </c>
      <c r="G238" s="38" t="s">
        <v>19</v>
      </c>
      <c r="H238" s="38">
        <v>5</v>
      </c>
      <c r="I238" s="38">
        <v>2500</v>
      </c>
      <c r="J238" s="38">
        <v>0.25</v>
      </c>
      <c r="K238" s="38">
        <f t="shared" si="7"/>
        <v>9375</v>
      </c>
      <c r="L238" s="38" t="s">
        <v>32</v>
      </c>
      <c r="M238" s="38" t="s">
        <v>22</v>
      </c>
      <c r="N238" s="4" t="str">
        <f>IF(I238=_xlfn.XLOOKUP(F238,Lists!$D$2:$D$13,Lists!$E$2:$E$13,"Not Found"),"OK","Check Price")</f>
        <v>Check Price</v>
      </c>
    </row>
    <row r="239" spans="1:14" ht="15.5" thickTop="1" thickBot="1" x14ac:dyDescent="0.4">
      <c r="A239" s="36" t="str">
        <f t="shared" si="6"/>
        <v>ORD0238</v>
      </c>
      <c r="B239" s="34">
        <v>45354</v>
      </c>
      <c r="C239" s="37" t="s">
        <v>67</v>
      </c>
      <c r="D239" s="37" t="s">
        <v>51</v>
      </c>
      <c r="E239" s="37" t="s">
        <v>119</v>
      </c>
      <c r="F239" s="37" t="s">
        <v>55</v>
      </c>
      <c r="G239" s="35" t="str">
        <f>_xlfn.XLOOKUP(F239,Lists!$J$2:$J$13,Lists!$K$2:$K$13,"Not Found")</f>
        <v>Office Supplies</v>
      </c>
      <c r="H239" s="37">
        <v>2</v>
      </c>
      <c r="I239" s="35">
        <f>_xlfn.XLOOKUP(F239,Lists!$D$2:$D$13,Lists!$E$2:$E$13,"Not Found")</f>
        <v>1500</v>
      </c>
      <c r="J239" s="47">
        <v>0.15</v>
      </c>
      <c r="K239" s="35">
        <f>H239*I239*(1-J239)</f>
        <v>2550</v>
      </c>
      <c r="L239" s="37" t="s">
        <v>53</v>
      </c>
      <c r="M239" s="37" t="s">
        <v>38</v>
      </c>
      <c r="N239" s="4" t="str">
        <f>IF(I239=_xlfn.XLOOKUP(F239,Lists!$D$2:$D$13,Lists!$E$2:$E$13,"Not Found"),"OK","Check Price")</f>
        <v>OK</v>
      </c>
    </row>
    <row r="240" spans="1:14" ht="15.5" hidden="1" thickTop="1" thickBot="1" x14ac:dyDescent="0.4">
      <c r="A240" s="36" t="str">
        <f t="shared" si="6"/>
        <v>ORD0239</v>
      </c>
      <c r="B240" s="34">
        <v>45709</v>
      </c>
      <c r="C240" s="38" t="s">
        <v>63</v>
      </c>
      <c r="D240" s="38" t="s">
        <v>51</v>
      </c>
      <c r="E240" s="38" t="s">
        <v>80</v>
      </c>
      <c r="F240" s="38" t="s">
        <v>40</v>
      </c>
      <c r="G240" s="38" t="s">
        <v>30</v>
      </c>
      <c r="H240" s="38">
        <v>2</v>
      </c>
      <c r="I240" s="38">
        <v>28000</v>
      </c>
      <c r="J240" s="38">
        <v>0.1</v>
      </c>
      <c r="K240" s="38">
        <f t="shared" si="7"/>
        <v>50400</v>
      </c>
      <c r="L240" s="38" t="s">
        <v>44</v>
      </c>
      <c r="M240" s="38" t="s">
        <v>38</v>
      </c>
      <c r="N240" s="4" t="str">
        <f>IF(I240=_xlfn.XLOOKUP(F240,Lists!$D$2:$D$13,Lists!$E$2:$E$13,"Not Found"),"OK","Check Price")</f>
        <v>OK</v>
      </c>
    </row>
    <row r="241" spans="1:14" ht="15.5" hidden="1" thickTop="1" thickBot="1" x14ac:dyDescent="0.4">
      <c r="A241" s="36" t="str">
        <f t="shared" si="6"/>
        <v>ORD0240</v>
      </c>
      <c r="B241" s="34">
        <v>45792</v>
      </c>
      <c r="C241" s="37" t="s">
        <v>64</v>
      </c>
      <c r="D241" s="37" t="s">
        <v>23</v>
      </c>
      <c r="E241" s="37" t="s">
        <v>18</v>
      </c>
      <c r="F241" s="37" t="s">
        <v>58</v>
      </c>
      <c r="G241" s="37" t="s">
        <v>19</v>
      </c>
      <c r="H241" s="37">
        <v>1</v>
      </c>
      <c r="I241" s="37">
        <v>85000</v>
      </c>
      <c r="J241" s="37">
        <v>0.1</v>
      </c>
      <c r="K241" s="37">
        <f t="shared" si="7"/>
        <v>76500</v>
      </c>
      <c r="L241" s="37" t="s">
        <v>32</v>
      </c>
      <c r="M241" s="37" t="s">
        <v>33</v>
      </c>
      <c r="N241" s="4" t="str">
        <f>IF(I241=_xlfn.XLOOKUP(F241,Lists!$D$2:$D$13,Lists!$E$2:$E$13,"Not Found"),"OK","Check Price")</f>
        <v>Check Price</v>
      </c>
    </row>
    <row r="242" spans="1:14" ht="15.5" hidden="1" thickTop="1" thickBot="1" x14ac:dyDescent="0.4">
      <c r="A242" s="36" t="str">
        <f t="shared" si="6"/>
        <v>ORD0241</v>
      </c>
      <c r="B242" s="34">
        <v>45881</v>
      </c>
      <c r="C242" s="38" t="s">
        <v>61</v>
      </c>
      <c r="D242" s="38" t="s">
        <v>23</v>
      </c>
      <c r="E242" s="38" t="s">
        <v>29</v>
      </c>
      <c r="F242" s="38" t="s">
        <v>31</v>
      </c>
      <c r="G242" s="38" t="s">
        <v>19</v>
      </c>
      <c r="H242" s="38">
        <v>5</v>
      </c>
      <c r="I242" s="38">
        <v>2000</v>
      </c>
      <c r="J242" s="38">
        <v>0.05</v>
      </c>
      <c r="K242" s="38">
        <f t="shared" si="7"/>
        <v>9500</v>
      </c>
      <c r="L242" s="38" t="s">
        <v>56</v>
      </c>
      <c r="M242" s="38" t="s">
        <v>38</v>
      </c>
      <c r="N242" s="4" t="str">
        <f>IF(I242=_xlfn.XLOOKUP(F242,Lists!$D$2:$D$13,Lists!$E$2:$E$13,"Not Found"),"OK","Check Price")</f>
        <v>Check Price</v>
      </c>
    </row>
    <row r="243" spans="1:14" ht="15.5" hidden="1" thickTop="1" thickBot="1" x14ac:dyDescent="0.4">
      <c r="A243" s="36" t="str">
        <f t="shared" si="6"/>
        <v>ORD0242</v>
      </c>
      <c r="B243" s="34">
        <v>45963</v>
      </c>
      <c r="C243" s="37" t="s">
        <v>65</v>
      </c>
      <c r="D243" s="37" t="s">
        <v>17</v>
      </c>
      <c r="E243" s="37" t="s">
        <v>29</v>
      </c>
      <c r="F243" s="37" t="s">
        <v>40</v>
      </c>
      <c r="G243" s="37" t="s">
        <v>24</v>
      </c>
      <c r="H243" s="37">
        <v>6</v>
      </c>
      <c r="I243" s="37">
        <v>1500</v>
      </c>
      <c r="J243" s="37">
        <v>0.2</v>
      </c>
      <c r="K243" s="37">
        <f t="shared" si="7"/>
        <v>7200</v>
      </c>
      <c r="L243" s="37" t="s">
        <v>47</v>
      </c>
      <c r="M243" s="37" t="s">
        <v>22</v>
      </c>
      <c r="N243" s="4" t="str">
        <f>IF(I243=_xlfn.XLOOKUP(F243,Lists!$D$2:$D$13,Lists!$E$2:$E$13,"Not Found"),"OK","Check Price")</f>
        <v>Check Price</v>
      </c>
    </row>
    <row r="244" spans="1:14" ht="15.5" hidden="1" thickTop="1" thickBot="1" x14ac:dyDescent="0.4">
      <c r="A244" s="36" t="str">
        <f t="shared" si="6"/>
        <v>ORD0243</v>
      </c>
      <c r="B244" s="34">
        <v>45462</v>
      </c>
      <c r="C244" s="38" t="s">
        <v>72</v>
      </c>
      <c r="D244" s="38" t="s">
        <v>28</v>
      </c>
      <c r="E244" s="38" t="s">
        <v>29</v>
      </c>
      <c r="F244" s="38" t="s">
        <v>25</v>
      </c>
      <c r="G244" s="38" t="s">
        <v>30</v>
      </c>
      <c r="H244" s="38">
        <v>10</v>
      </c>
      <c r="I244" s="38">
        <v>12000</v>
      </c>
      <c r="J244" s="38">
        <v>0.2</v>
      </c>
      <c r="K244" s="38">
        <f t="shared" si="7"/>
        <v>96000</v>
      </c>
      <c r="L244" s="38" t="s">
        <v>21</v>
      </c>
      <c r="M244" s="38" t="s">
        <v>33</v>
      </c>
      <c r="N244" s="4" t="str">
        <f>IF(I244=_xlfn.XLOOKUP(F244,Lists!$D$2:$D$13,Lists!$E$2:$E$13,"Not Found"),"OK","Check Price")</f>
        <v>Check Price</v>
      </c>
    </row>
    <row r="245" spans="1:14" ht="15.5" hidden="1" thickTop="1" thickBot="1" x14ac:dyDescent="0.4">
      <c r="A245" s="36" t="str">
        <f t="shared" si="6"/>
        <v>ORD0244</v>
      </c>
      <c r="B245" s="34">
        <v>45437</v>
      </c>
      <c r="C245" s="37" t="s">
        <v>63</v>
      </c>
      <c r="D245" s="37" t="s">
        <v>48</v>
      </c>
      <c r="E245" s="37" t="s">
        <v>79</v>
      </c>
      <c r="F245" s="37" t="s">
        <v>58</v>
      </c>
      <c r="G245" s="37" t="s">
        <v>24</v>
      </c>
      <c r="H245" s="37">
        <v>9</v>
      </c>
      <c r="I245" s="37">
        <v>4000</v>
      </c>
      <c r="J245" s="37">
        <v>0.1</v>
      </c>
      <c r="K245" s="37">
        <f t="shared" si="7"/>
        <v>32400</v>
      </c>
      <c r="L245" s="37" t="s">
        <v>56</v>
      </c>
      <c r="M245" s="37" t="s">
        <v>33</v>
      </c>
      <c r="N245" s="4" t="str">
        <f>IF(I245=_xlfn.XLOOKUP(F245,Lists!$D$2:$D$13,Lists!$E$2:$E$13,"Not Found"),"OK","Check Price")</f>
        <v>Check Price</v>
      </c>
    </row>
    <row r="246" spans="1:14" ht="15.5" hidden="1" thickTop="1" thickBot="1" x14ac:dyDescent="0.4">
      <c r="A246" s="36" t="str">
        <f t="shared" si="6"/>
        <v>ORD0245</v>
      </c>
      <c r="B246" s="34">
        <v>45656</v>
      </c>
      <c r="C246" s="38" t="s">
        <v>72</v>
      </c>
      <c r="D246" s="38" t="s">
        <v>51</v>
      </c>
      <c r="E246" s="38" t="s">
        <v>29</v>
      </c>
      <c r="F246" s="38" t="s">
        <v>40</v>
      </c>
      <c r="G246" s="38" t="s">
        <v>24</v>
      </c>
      <c r="H246" s="38">
        <v>3</v>
      </c>
      <c r="I246" s="38">
        <v>4000</v>
      </c>
      <c r="J246" s="38">
        <v>0.05</v>
      </c>
      <c r="K246" s="38">
        <f t="shared" si="7"/>
        <v>11400</v>
      </c>
      <c r="L246" s="38" t="s">
        <v>53</v>
      </c>
      <c r="M246" s="38" t="s">
        <v>27</v>
      </c>
      <c r="N246" s="4" t="str">
        <f>IF(I246=_xlfn.XLOOKUP(F246,Lists!$D$2:$D$13,Lists!$E$2:$E$13,"Not Found"),"OK","Check Price")</f>
        <v>Check Price</v>
      </c>
    </row>
    <row r="247" spans="1:14" ht="15.5" thickTop="1" thickBot="1" x14ac:dyDescent="0.4">
      <c r="A247" s="36" t="str">
        <f t="shared" si="6"/>
        <v>ORD0246</v>
      </c>
      <c r="B247" s="34">
        <v>45830</v>
      </c>
      <c r="C247" s="37" t="s">
        <v>66</v>
      </c>
      <c r="D247" s="37" t="s">
        <v>48</v>
      </c>
      <c r="E247" s="37" t="s">
        <v>18</v>
      </c>
      <c r="F247" s="37" t="s">
        <v>20</v>
      </c>
      <c r="G247" s="35" t="str">
        <f>_xlfn.XLOOKUP(F247,Lists!$J$2:$J$13,Lists!$K$2:$K$13,"Not Found")</f>
        <v>Electronics</v>
      </c>
      <c r="H247" s="37">
        <v>8</v>
      </c>
      <c r="I247" s="35">
        <f>_xlfn.XLOOKUP(F247,Lists!$D$2:$D$13,Lists!$E$2:$E$13,"Not Found")</f>
        <v>85000</v>
      </c>
      <c r="J247" s="47">
        <v>0.2</v>
      </c>
      <c r="K247" s="35">
        <f>H247*I247*(1-J247)</f>
        <v>544000</v>
      </c>
      <c r="L247" s="37" t="s">
        <v>41</v>
      </c>
      <c r="M247" s="37" t="s">
        <v>33</v>
      </c>
      <c r="N247" s="4" t="str">
        <f>IF(I247=_xlfn.XLOOKUP(F247,Lists!$D$2:$D$13,Lists!$E$2:$E$13,"Not Found"),"OK","Check Price")</f>
        <v>OK</v>
      </c>
    </row>
    <row r="248" spans="1:14" ht="15.5" hidden="1" thickTop="1" thickBot="1" x14ac:dyDescent="0.4">
      <c r="A248" s="36" t="str">
        <f t="shared" si="6"/>
        <v>ORD0247</v>
      </c>
      <c r="B248" s="34">
        <v>45694</v>
      </c>
      <c r="C248" s="38" t="s">
        <v>59</v>
      </c>
      <c r="D248" s="38" t="s">
        <v>48</v>
      </c>
      <c r="E248" s="38" t="s">
        <v>80</v>
      </c>
      <c r="F248" s="38" t="s">
        <v>49</v>
      </c>
      <c r="G248" s="38" t="s">
        <v>30</v>
      </c>
      <c r="H248" s="38">
        <v>4</v>
      </c>
      <c r="I248" s="38">
        <v>5000</v>
      </c>
      <c r="J248" s="38">
        <v>0.25</v>
      </c>
      <c r="K248" s="38">
        <f t="shared" si="7"/>
        <v>15000</v>
      </c>
      <c r="L248" s="38" t="s">
        <v>44</v>
      </c>
      <c r="M248" s="38" t="s">
        <v>27</v>
      </c>
      <c r="N248" s="4" t="str">
        <f>IF(I248=_xlfn.XLOOKUP(F248,Lists!$D$2:$D$13,Lists!$E$2:$E$13,"Not Found"),"OK","Check Price")</f>
        <v>Check Price</v>
      </c>
    </row>
    <row r="249" spans="1:14" ht="15.5" hidden="1" thickTop="1" thickBot="1" x14ac:dyDescent="0.4">
      <c r="A249" s="36" t="str">
        <f t="shared" si="6"/>
        <v>ORD0248</v>
      </c>
      <c r="B249" s="34">
        <v>45385</v>
      </c>
      <c r="C249" s="37" t="s">
        <v>60</v>
      </c>
      <c r="D249" s="37" t="s">
        <v>23</v>
      </c>
      <c r="E249" s="37" t="s">
        <v>79</v>
      </c>
      <c r="F249" s="37" t="s">
        <v>49</v>
      </c>
      <c r="G249" s="37" t="s">
        <v>19</v>
      </c>
      <c r="H249" s="37">
        <v>10</v>
      </c>
      <c r="I249" s="37">
        <v>2500</v>
      </c>
      <c r="J249" s="37">
        <v>0.15</v>
      </c>
      <c r="K249" s="37">
        <f t="shared" si="7"/>
        <v>21250</v>
      </c>
      <c r="L249" s="37" t="s">
        <v>53</v>
      </c>
      <c r="M249" s="37" t="s">
        <v>27</v>
      </c>
      <c r="N249" s="4" t="str">
        <f>IF(I249=_xlfn.XLOOKUP(F249,Lists!$D$2:$D$13,Lists!$E$2:$E$13,"Not Found"),"OK","Check Price")</f>
        <v>Check Price</v>
      </c>
    </row>
    <row r="250" spans="1:14" ht="15.5" hidden="1" thickTop="1" thickBot="1" x14ac:dyDescent="0.4">
      <c r="A250" s="36" t="str">
        <f t="shared" si="6"/>
        <v>ORD0249</v>
      </c>
      <c r="B250" s="34">
        <v>46011</v>
      </c>
      <c r="C250" s="38" t="s">
        <v>74</v>
      </c>
      <c r="D250" s="38" t="s">
        <v>42</v>
      </c>
      <c r="E250" s="38" t="s">
        <v>80</v>
      </c>
      <c r="F250" s="38" t="s">
        <v>36</v>
      </c>
      <c r="G250" s="38" t="s">
        <v>30</v>
      </c>
      <c r="H250" s="38">
        <v>3</v>
      </c>
      <c r="I250" s="38">
        <v>1200</v>
      </c>
      <c r="J250" s="38">
        <v>0.1</v>
      </c>
      <c r="K250" s="38">
        <f t="shared" si="7"/>
        <v>3240</v>
      </c>
      <c r="L250" s="38" t="s">
        <v>26</v>
      </c>
      <c r="M250" s="38" t="s">
        <v>33</v>
      </c>
      <c r="N250" s="4" t="str">
        <f>IF(I250=_xlfn.XLOOKUP(F250,Lists!$D$2:$D$13,Lists!$E$2:$E$13,"Not Found"),"OK","Check Price")</f>
        <v>Check Price</v>
      </c>
    </row>
    <row r="251" spans="1:14" ht="15.5" hidden="1" thickTop="1" thickBot="1" x14ac:dyDescent="0.4">
      <c r="A251" s="36" t="str">
        <f t="shared" si="6"/>
        <v>ORD0250</v>
      </c>
      <c r="B251" s="34">
        <v>45822</v>
      </c>
      <c r="C251" s="37" t="s">
        <v>64</v>
      </c>
      <c r="D251" s="37" t="s">
        <v>28</v>
      </c>
      <c r="E251" s="37" t="s">
        <v>119</v>
      </c>
      <c r="F251" s="37" t="s">
        <v>36</v>
      </c>
      <c r="G251" s="37" t="s">
        <v>19</v>
      </c>
      <c r="H251" s="37">
        <v>5</v>
      </c>
      <c r="I251" s="37">
        <v>12000</v>
      </c>
      <c r="J251" s="37">
        <v>0.15</v>
      </c>
      <c r="K251" s="37">
        <f t="shared" si="7"/>
        <v>51000</v>
      </c>
      <c r="L251" s="37" t="s">
        <v>26</v>
      </c>
      <c r="M251" s="37" t="s">
        <v>27</v>
      </c>
      <c r="N251" s="4" t="str">
        <f>IF(I251=_xlfn.XLOOKUP(F251,Lists!$D$2:$D$13,Lists!$E$2:$E$13,"Not Found"),"OK","Check Price")</f>
        <v>Check Price</v>
      </c>
    </row>
    <row r="252" spans="1:14" ht="15.5" hidden="1" thickTop="1" thickBot="1" x14ac:dyDescent="0.4">
      <c r="A252" s="36" t="str">
        <f t="shared" si="6"/>
        <v>ORD0251</v>
      </c>
      <c r="B252" s="34">
        <v>45919</v>
      </c>
      <c r="C252" s="38" t="s">
        <v>74</v>
      </c>
      <c r="D252" s="38" t="s">
        <v>23</v>
      </c>
      <c r="E252" s="38" t="s">
        <v>35</v>
      </c>
      <c r="F252" s="38" t="s">
        <v>49</v>
      </c>
      <c r="G252" s="38" t="s">
        <v>30</v>
      </c>
      <c r="H252" s="38">
        <v>10</v>
      </c>
      <c r="I252" s="38">
        <v>1500</v>
      </c>
      <c r="J252" s="38">
        <v>0.2</v>
      </c>
      <c r="K252" s="38">
        <f t="shared" si="7"/>
        <v>12000</v>
      </c>
      <c r="L252" s="38" t="s">
        <v>41</v>
      </c>
      <c r="M252" s="38" t="s">
        <v>22</v>
      </c>
      <c r="N252" s="4" t="str">
        <f>IF(I252=_xlfn.XLOOKUP(F252,Lists!$D$2:$D$13,Lists!$E$2:$E$13,"Not Found"),"OK","Check Price")</f>
        <v>Check Price</v>
      </c>
    </row>
    <row r="253" spans="1:14" ht="15.5" hidden="1" thickTop="1" thickBot="1" x14ac:dyDescent="0.4">
      <c r="A253" s="36" t="str">
        <f t="shared" si="6"/>
        <v>ORD0252</v>
      </c>
      <c r="B253" s="34">
        <v>46019</v>
      </c>
      <c r="C253" s="37" t="s">
        <v>61</v>
      </c>
      <c r="D253" s="37" t="s">
        <v>39</v>
      </c>
      <c r="E253" s="37" t="s">
        <v>80</v>
      </c>
      <c r="F253" s="37" t="s">
        <v>25</v>
      </c>
      <c r="G253" s="37" t="s">
        <v>19</v>
      </c>
      <c r="H253" s="37">
        <v>5</v>
      </c>
      <c r="I253" s="37">
        <v>28000</v>
      </c>
      <c r="J253" s="37">
        <v>0.05</v>
      </c>
      <c r="K253" s="37">
        <f t="shared" si="7"/>
        <v>133000</v>
      </c>
      <c r="L253" s="37" t="s">
        <v>37</v>
      </c>
      <c r="M253" s="37" t="s">
        <v>27</v>
      </c>
      <c r="N253" s="4" t="str">
        <f>IF(I253=_xlfn.XLOOKUP(F253,Lists!$D$2:$D$13,Lists!$E$2:$E$13,"Not Found"),"OK","Check Price")</f>
        <v>Check Price</v>
      </c>
    </row>
    <row r="254" spans="1:14" ht="15.5" hidden="1" thickTop="1" thickBot="1" x14ac:dyDescent="0.4">
      <c r="A254" s="36" t="str">
        <f t="shared" si="6"/>
        <v>ORD0253</v>
      </c>
      <c r="B254" s="34">
        <v>45712</v>
      </c>
      <c r="C254" s="38" t="s">
        <v>71</v>
      </c>
      <c r="D254" s="38" t="s">
        <v>34</v>
      </c>
      <c r="E254" s="38" t="s">
        <v>80</v>
      </c>
      <c r="F254" s="38" t="s">
        <v>36</v>
      </c>
      <c r="G254" s="38" t="s">
        <v>30</v>
      </c>
      <c r="H254" s="38">
        <v>3</v>
      </c>
      <c r="I254" s="38">
        <v>85000</v>
      </c>
      <c r="J254" s="38">
        <v>0.25</v>
      </c>
      <c r="K254" s="38">
        <f t="shared" si="7"/>
        <v>191250</v>
      </c>
      <c r="L254" s="38" t="s">
        <v>21</v>
      </c>
      <c r="M254" s="38" t="s">
        <v>33</v>
      </c>
      <c r="N254" s="4" t="str">
        <f>IF(I254=_xlfn.XLOOKUP(F254,Lists!$D$2:$D$13,Lists!$E$2:$E$13,"Not Found"),"OK","Check Price")</f>
        <v>Check Price</v>
      </c>
    </row>
    <row r="255" spans="1:14" ht="15.5" thickTop="1" thickBot="1" x14ac:dyDescent="0.4">
      <c r="A255" s="36" t="str">
        <f t="shared" si="6"/>
        <v>ORD0254</v>
      </c>
      <c r="B255" s="34">
        <v>45814</v>
      </c>
      <c r="C255" s="37" t="s">
        <v>64</v>
      </c>
      <c r="D255" s="37" t="s">
        <v>48</v>
      </c>
      <c r="E255" s="37" t="s">
        <v>119</v>
      </c>
      <c r="F255" s="37" t="s">
        <v>46</v>
      </c>
      <c r="G255" s="35" t="str">
        <f>_xlfn.XLOOKUP(F255,Lists!$J$2:$J$13,Lists!$K$2:$K$13,"Not Found")</f>
        <v>Furniture</v>
      </c>
      <c r="H255" s="37">
        <v>6</v>
      </c>
      <c r="I255" s="35">
        <f>_xlfn.XLOOKUP(F255,Lists!$D$2:$D$13,Lists!$E$2:$E$13,"Not Found")</f>
        <v>22000</v>
      </c>
      <c r="J255" s="47">
        <v>0.2</v>
      </c>
      <c r="K255" s="35">
        <f>H255*I255*(1-J255)</f>
        <v>105600</v>
      </c>
      <c r="L255" s="37" t="s">
        <v>47</v>
      </c>
      <c r="M255" s="37" t="s">
        <v>27</v>
      </c>
      <c r="N255" s="4" t="str">
        <f>IF(I255=_xlfn.XLOOKUP(F255,Lists!$D$2:$D$13,Lists!$E$2:$E$13,"Not Found"),"OK","Check Price")</f>
        <v>OK</v>
      </c>
    </row>
    <row r="256" spans="1:14" ht="15.5" hidden="1" thickTop="1" thickBot="1" x14ac:dyDescent="0.4">
      <c r="A256" s="36" t="str">
        <f t="shared" si="6"/>
        <v>ORD0255</v>
      </c>
      <c r="B256" s="34">
        <v>45377</v>
      </c>
      <c r="C256" s="38" t="s">
        <v>62</v>
      </c>
      <c r="D256" s="38" t="s">
        <v>51</v>
      </c>
      <c r="E256" s="38" t="s">
        <v>119</v>
      </c>
      <c r="F256" s="38" t="s">
        <v>43</v>
      </c>
      <c r="G256" s="38" t="s">
        <v>30</v>
      </c>
      <c r="H256" s="38">
        <v>7</v>
      </c>
      <c r="I256" s="38">
        <v>2500</v>
      </c>
      <c r="J256" s="38">
        <v>0.1</v>
      </c>
      <c r="K256" s="38">
        <f t="shared" si="7"/>
        <v>15750</v>
      </c>
      <c r="L256" s="38" t="s">
        <v>37</v>
      </c>
      <c r="M256" s="38" t="s">
        <v>38</v>
      </c>
      <c r="N256" s="4" t="str">
        <f>IF(I256=_xlfn.XLOOKUP(F256,Lists!$D$2:$D$13,Lists!$E$2:$E$13,"Not Found"),"OK","Check Price")</f>
        <v>Check Price</v>
      </c>
    </row>
    <row r="257" spans="1:14" ht="15.5" hidden="1" thickTop="1" thickBot="1" x14ac:dyDescent="0.4">
      <c r="A257" s="36" t="str">
        <f t="shared" si="6"/>
        <v>ORD0256</v>
      </c>
      <c r="B257" s="34">
        <v>45536</v>
      </c>
      <c r="C257" s="37" t="s">
        <v>78</v>
      </c>
      <c r="D257" s="37" t="s">
        <v>34</v>
      </c>
      <c r="E257" s="37" t="s">
        <v>18</v>
      </c>
      <c r="F257" s="37" t="s">
        <v>58</v>
      </c>
      <c r="G257" s="37" t="s">
        <v>30</v>
      </c>
      <c r="H257" s="37">
        <v>9</v>
      </c>
      <c r="I257" s="37">
        <v>5000</v>
      </c>
      <c r="J257" s="37">
        <v>0.1</v>
      </c>
      <c r="K257" s="37">
        <f t="shared" si="7"/>
        <v>40500</v>
      </c>
      <c r="L257" s="37" t="s">
        <v>32</v>
      </c>
      <c r="M257" s="37" t="s">
        <v>22</v>
      </c>
      <c r="N257" s="4" t="str">
        <f>IF(I257=_xlfn.XLOOKUP(F257,Lists!$D$2:$D$13,Lists!$E$2:$E$13,"Not Found"),"OK","Check Price")</f>
        <v>OK</v>
      </c>
    </row>
    <row r="258" spans="1:14" ht="15.5" thickTop="1" thickBot="1" x14ac:dyDescent="0.4">
      <c r="A258" s="36" t="str">
        <f t="shared" si="6"/>
        <v>ORD0257</v>
      </c>
      <c r="B258" s="34">
        <v>45747</v>
      </c>
      <c r="C258" s="38" t="s">
        <v>78</v>
      </c>
      <c r="D258" s="38" t="s">
        <v>48</v>
      </c>
      <c r="E258" s="38" t="s">
        <v>29</v>
      </c>
      <c r="F258" s="38" t="s">
        <v>55</v>
      </c>
      <c r="G258" s="35" t="str">
        <f>_xlfn.XLOOKUP(F258,Lists!$J$2:$J$13,Lists!$K$2:$K$13,"Not Found")</f>
        <v>Office Supplies</v>
      </c>
      <c r="H258" s="38">
        <v>3</v>
      </c>
      <c r="I258" s="35">
        <f>_xlfn.XLOOKUP(F258,Lists!$D$2:$D$13,Lists!$E$2:$E$13,"Not Found")</f>
        <v>1500</v>
      </c>
      <c r="J258" s="48">
        <v>0.25</v>
      </c>
      <c r="K258" s="35">
        <f>H258*I258*(1-J258)</f>
        <v>3375</v>
      </c>
      <c r="L258" s="38" t="s">
        <v>50</v>
      </c>
      <c r="M258" s="38" t="s">
        <v>27</v>
      </c>
      <c r="N258" s="4" t="str">
        <f>IF(I258=_xlfn.XLOOKUP(F258,Lists!$D$2:$D$13,Lists!$E$2:$E$13,"Not Found"),"OK","Check Price")</f>
        <v>OK</v>
      </c>
    </row>
    <row r="259" spans="1:14" ht="15.5" hidden="1" thickTop="1" thickBot="1" x14ac:dyDescent="0.4">
      <c r="A259" s="36" t="str">
        <f t="shared" ref="A259:A322" si="8">"ORD"&amp;TEXT(ROW()-1,"0000")</f>
        <v>ORD0258</v>
      </c>
      <c r="B259" s="34">
        <v>45496</v>
      </c>
      <c r="C259" s="37" t="s">
        <v>76</v>
      </c>
      <c r="D259" s="37" t="s">
        <v>54</v>
      </c>
      <c r="E259" s="37" t="s">
        <v>29</v>
      </c>
      <c r="F259" s="37" t="s">
        <v>52</v>
      </c>
      <c r="G259" s="37" t="s">
        <v>19</v>
      </c>
      <c r="H259" s="37">
        <v>6</v>
      </c>
      <c r="I259" s="37">
        <v>28000</v>
      </c>
      <c r="J259" s="37">
        <v>0.15</v>
      </c>
      <c r="K259" s="37">
        <f t="shared" ref="K259:K321" si="9">H259*I259*(1-J259)</f>
        <v>142800</v>
      </c>
      <c r="L259" s="37" t="s">
        <v>44</v>
      </c>
      <c r="M259" s="37" t="s">
        <v>33</v>
      </c>
      <c r="N259" s="4" t="str">
        <f>IF(I259=_xlfn.XLOOKUP(F259,Lists!$D$2:$D$13,Lists!$E$2:$E$13,"Not Found"),"OK","Check Price")</f>
        <v>Check Price</v>
      </c>
    </row>
    <row r="260" spans="1:14" ht="15.5" hidden="1" thickTop="1" thickBot="1" x14ac:dyDescent="0.4">
      <c r="A260" s="36" t="str">
        <f t="shared" si="8"/>
        <v>ORD0259</v>
      </c>
      <c r="B260" s="34">
        <v>45318</v>
      </c>
      <c r="C260" s="38" t="s">
        <v>61</v>
      </c>
      <c r="D260" s="38" t="s">
        <v>34</v>
      </c>
      <c r="E260" s="38" t="s">
        <v>119</v>
      </c>
      <c r="F260" s="38" t="s">
        <v>52</v>
      </c>
      <c r="G260" s="38" t="s">
        <v>24</v>
      </c>
      <c r="H260" s="38">
        <v>7</v>
      </c>
      <c r="I260" s="38">
        <v>28000</v>
      </c>
      <c r="J260" s="38">
        <v>0.15</v>
      </c>
      <c r="K260" s="38">
        <f t="shared" si="9"/>
        <v>166600</v>
      </c>
      <c r="L260" s="38" t="s">
        <v>21</v>
      </c>
      <c r="M260" s="38" t="s">
        <v>27</v>
      </c>
      <c r="N260" s="4" t="str">
        <f>IF(I260=_xlfn.XLOOKUP(F260,Lists!$D$2:$D$13,Lists!$E$2:$E$13,"Not Found"),"OK","Check Price")</f>
        <v>Check Price</v>
      </c>
    </row>
    <row r="261" spans="1:14" ht="15.5" hidden="1" thickTop="1" thickBot="1" x14ac:dyDescent="0.4">
      <c r="A261" s="36" t="str">
        <f t="shared" si="8"/>
        <v>ORD0260</v>
      </c>
      <c r="B261" s="34">
        <v>45783</v>
      </c>
      <c r="C261" s="37" t="s">
        <v>68</v>
      </c>
      <c r="D261" s="37" t="s">
        <v>28</v>
      </c>
      <c r="E261" s="37" t="s">
        <v>119</v>
      </c>
      <c r="F261" s="37" t="s">
        <v>58</v>
      </c>
      <c r="G261" s="37" t="s">
        <v>24</v>
      </c>
      <c r="H261" s="37">
        <v>5</v>
      </c>
      <c r="I261" s="37">
        <v>22000</v>
      </c>
      <c r="J261" s="37">
        <v>0.05</v>
      </c>
      <c r="K261" s="37">
        <f t="shared" si="9"/>
        <v>104500</v>
      </c>
      <c r="L261" s="37" t="s">
        <v>47</v>
      </c>
      <c r="M261" s="37" t="s">
        <v>33</v>
      </c>
      <c r="N261" s="4" t="str">
        <f>IF(I261=_xlfn.XLOOKUP(F261,Lists!$D$2:$D$13,Lists!$E$2:$E$13,"Not Found"),"OK","Check Price")</f>
        <v>Check Price</v>
      </c>
    </row>
    <row r="262" spans="1:14" ht="15.5" hidden="1" thickTop="1" thickBot="1" x14ac:dyDescent="0.4">
      <c r="A262" s="36" t="str">
        <f t="shared" si="8"/>
        <v>ORD0261</v>
      </c>
      <c r="B262" s="34">
        <v>45535</v>
      </c>
      <c r="C262" s="38" t="s">
        <v>77</v>
      </c>
      <c r="D262" s="38" t="s">
        <v>39</v>
      </c>
      <c r="E262" s="38" t="s">
        <v>80</v>
      </c>
      <c r="F262" s="38" t="s">
        <v>57</v>
      </c>
      <c r="G262" s="38" t="s">
        <v>19</v>
      </c>
      <c r="H262" s="38">
        <v>5</v>
      </c>
      <c r="I262" s="38">
        <v>28000</v>
      </c>
      <c r="J262" s="38">
        <v>0.1</v>
      </c>
      <c r="K262" s="38">
        <f t="shared" si="9"/>
        <v>126000</v>
      </c>
      <c r="L262" s="38" t="s">
        <v>50</v>
      </c>
      <c r="M262" s="38" t="s">
        <v>33</v>
      </c>
      <c r="N262" s="4" t="str">
        <f>IF(I262=_xlfn.XLOOKUP(F262,Lists!$D$2:$D$13,Lists!$E$2:$E$13,"Not Found"),"OK","Check Price")</f>
        <v>Check Price</v>
      </c>
    </row>
    <row r="263" spans="1:14" ht="15.5" thickTop="1" thickBot="1" x14ac:dyDescent="0.4">
      <c r="A263" s="36" t="str">
        <f t="shared" si="8"/>
        <v>ORD0262</v>
      </c>
      <c r="B263" s="34">
        <v>45941</v>
      </c>
      <c r="C263" s="37" t="s">
        <v>71</v>
      </c>
      <c r="D263" s="37" t="s">
        <v>39</v>
      </c>
      <c r="E263" s="37" t="s">
        <v>80</v>
      </c>
      <c r="F263" s="37" t="s">
        <v>20</v>
      </c>
      <c r="G263" s="35" t="str">
        <f>_xlfn.XLOOKUP(F263,Lists!$J$2:$J$13,Lists!$K$2:$K$13,"Not Found")</f>
        <v>Electronics</v>
      </c>
      <c r="H263" s="37">
        <v>10</v>
      </c>
      <c r="I263" s="35">
        <f>_xlfn.XLOOKUP(F263,Lists!$D$2:$D$13,Lists!$E$2:$E$13,"Not Found")</f>
        <v>85000</v>
      </c>
      <c r="J263" s="47">
        <v>0.05</v>
      </c>
      <c r="K263" s="35">
        <f>H263*I263*(1-J263)</f>
        <v>807500</v>
      </c>
      <c r="L263" s="37" t="s">
        <v>53</v>
      </c>
      <c r="M263" s="37" t="s">
        <v>27</v>
      </c>
      <c r="N263" s="4" t="str">
        <f>IF(I263=_xlfn.XLOOKUP(F263,Lists!$D$2:$D$13,Lists!$E$2:$E$13,"Not Found"),"OK","Check Price")</f>
        <v>OK</v>
      </c>
    </row>
    <row r="264" spans="1:14" ht="15.5" hidden="1" thickTop="1" thickBot="1" x14ac:dyDescent="0.4">
      <c r="A264" s="36" t="str">
        <f t="shared" si="8"/>
        <v>ORD0263</v>
      </c>
      <c r="B264" s="34">
        <v>45314</v>
      </c>
      <c r="C264" s="38" t="s">
        <v>59</v>
      </c>
      <c r="D264" s="38" t="s">
        <v>48</v>
      </c>
      <c r="E264" s="38" t="s">
        <v>35</v>
      </c>
      <c r="F264" s="38" t="s">
        <v>25</v>
      </c>
      <c r="G264" s="38" t="s">
        <v>19</v>
      </c>
      <c r="H264" s="38">
        <v>6</v>
      </c>
      <c r="I264" s="38">
        <v>12000</v>
      </c>
      <c r="J264" s="38">
        <v>0.15</v>
      </c>
      <c r="K264" s="38">
        <f t="shared" si="9"/>
        <v>61200</v>
      </c>
      <c r="L264" s="38" t="s">
        <v>26</v>
      </c>
      <c r="M264" s="38" t="s">
        <v>38</v>
      </c>
      <c r="N264" s="4" t="str">
        <f>IF(I264=_xlfn.XLOOKUP(F264,Lists!$D$2:$D$13,Lists!$E$2:$E$13,"Not Found"),"OK","Check Price")</f>
        <v>Check Price</v>
      </c>
    </row>
    <row r="265" spans="1:14" ht="15.5" hidden="1" thickTop="1" thickBot="1" x14ac:dyDescent="0.4">
      <c r="A265" s="36" t="str">
        <f t="shared" si="8"/>
        <v>ORD0264</v>
      </c>
      <c r="B265" s="34">
        <v>45903</v>
      </c>
      <c r="C265" s="37" t="s">
        <v>66</v>
      </c>
      <c r="D265" s="37" t="s">
        <v>48</v>
      </c>
      <c r="E265" s="37" t="s">
        <v>119</v>
      </c>
      <c r="F265" s="37" t="s">
        <v>58</v>
      </c>
      <c r="G265" s="37" t="s">
        <v>19</v>
      </c>
      <c r="H265" s="37">
        <v>9</v>
      </c>
      <c r="I265" s="37">
        <v>5000</v>
      </c>
      <c r="J265" s="37">
        <v>0.2</v>
      </c>
      <c r="K265" s="37">
        <f t="shared" si="9"/>
        <v>36000</v>
      </c>
      <c r="L265" s="37" t="s">
        <v>32</v>
      </c>
      <c r="M265" s="37" t="s">
        <v>33</v>
      </c>
      <c r="N265" s="4" t="str">
        <f>IF(I265=_xlfn.XLOOKUP(F265,Lists!$D$2:$D$13,Lists!$E$2:$E$13,"Not Found"),"OK","Check Price")</f>
        <v>OK</v>
      </c>
    </row>
    <row r="266" spans="1:14" ht="15.5" thickTop="1" thickBot="1" x14ac:dyDescent="0.4">
      <c r="A266" s="36" t="str">
        <f t="shared" si="8"/>
        <v>ORD0265</v>
      </c>
      <c r="B266" s="34">
        <v>45383</v>
      </c>
      <c r="C266" s="38" t="s">
        <v>76</v>
      </c>
      <c r="D266" s="38" t="s">
        <v>17</v>
      </c>
      <c r="E266" s="38" t="s">
        <v>29</v>
      </c>
      <c r="F266" s="38" t="s">
        <v>46</v>
      </c>
      <c r="G266" s="35" t="str">
        <f>_xlfn.XLOOKUP(F266,Lists!$J$2:$J$13,Lists!$K$2:$K$13,"Not Found")</f>
        <v>Furniture</v>
      </c>
      <c r="H266" s="38">
        <v>4</v>
      </c>
      <c r="I266" s="35">
        <f>_xlfn.XLOOKUP(F266,Lists!$D$2:$D$13,Lists!$E$2:$E$13,"Not Found")</f>
        <v>22000</v>
      </c>
      <c r="J266" s="48">
        <v>0.2</v>
      </c>
      <c r="K266" s="35">
        <f>H266*I266*(1-J266)</f>
        <v>70400</v>
      </c>
      <c r="L266" s="38" t="s">
        <v>44</v>
      </c>
      <c r="M266" s="38" t="s">
        <v>22</v>
      </c>
      <c r="N266" s="4" t="str">
        <f>IF(I266=_xlfn.XLOOKUP(F266,Lists!$D$2:$D$13,Lists!$E$2:$E$13,"Not Found"),"OK","Check Price")</f>
        <v>OK</v>
      </c>
    </row>
    <row r="267" spans="1:14" ht="15.5" hidden="1" thickTop="1" thickBot="1" x14ac:dyDescent="0.4">
      <c r="A267" s="36" t="str">
        <f t="shared" si="8"/>
        <v>ORD0266</v>
      </c>
      <c r="B267" s="34">
        <v>45485</v>
      </c>
      <c r="C267" s="37" t="s">
        <v>61</v>
      </c>
      <c r="D267" s="37" t="s">
        <v>34</v>
      </c>
      <c r="E267" s="37" t="s">
        <v>29</v>
      </c>
      <c r="F267" s="37" t="s">
        <v>31</v>
      </c>
      <c r="G267" s="37" t="s">
        <v>24</v>
      </c>
      <c r="H267" s="37">
        <v>4</v>
      </c>
      <c r="I267" s="37">
        <v>2000</v>
      </c>
      <c r="J267" s="37">
        <v>0.1</v>
      </c>
      <c r="K267" s="37">
        <f t="shared" si="9"/>
        <v>7200</v>
      </c>
      <c r="L267" s="37" t="s">
        <v>32</v>
      </c>
      <c r="M267" s="37" t="s">
        <v>22</v>
      </c>
      <c r="N267" s="4" t="str">
        <f>IF(I267=_xlfn.XLOOKUP(F267,Lists!$D$2:$D$13,Lists!$E$2:$E$13,"Not Found"),"OK","Check Price")</f>
        <v>Check Price</v>
      </c>
    </row>
    <row r="268" spans="1:14" ht="15.5" thickTop="1" thickBot="1" x14ac:dyDescent="0.4">
      <c r="A268" s="36" t="str">
        <f t="shared" si="8"/>
        <v>ORD0267</v>
      </c>
      <c r="B268" s="34">
        <v>45891</v>
      </c>
      <c r="C268" s="38" t="s">
        <v>67</v>
      </c>
      <c r="D268" s="38" t="s">
        <v>45</v>
      </c>
      <c r="E268" s="38" t="s">
        <v>79</v>
      </c>
      <c r="F268" s="38" t="s">
        <v>46</v>
      </c>
      <c r="G268" s="35" t="str">
        <f>_xlfn.XLOOKUP(F268,Lists!$J$2:$J$13,Lists!$K$2:$K$13,"Not Found")</f>
        <v>Furniture</v>
      </c>
      <c r="H268" s="38">
        <v>2</v>
      </c>
      <c r="I268" s="35">
        <f>_xlfn.XLOOKUP(F268,Lists!$D$2:$D$13,Lists!$E$2:$E$13,"Not Found")</f>
        <v>22000</v>
      </c>
      <c r="J268" s="48">
        <v>0.2</v>
      </c>
      <c r="K268" s="35">
        <f t="shared" si="9"/>
        <v>35200</v>
      </c>
      <c r="L268" s="38" t="s">
        <v>37</v>
      </c>
      <c r="M268" s="38" t="s">
        <v>38</v>
      </c>
      <c r="N268" s="4" t="str">
        <f>IF(I268=_xlfn.XLOOKUP(F268,Lists!$D$2:$D$13,Lists!$E$2:$E$13,"Not Found"),"OK","Check Price")</f>
        <v>OK</v>
      </c>
    </row>
    <row r="269" spans="1:14" ht="15.5" thickTop="1" thickBot="1" x14ac:dyDescent="0.4">
      <c r="A269" s="36" t="str">
        <f t="shared" si="8"/>
        <v>ORD0268</v>
      </c>
      <c r="B269" s="34">
        <v>45681</v>
      </c>
      <c r="C269" s="37" t="s">
        <v>71</v>
      </c>
      <c r="D269" s="37" t="s">
        <v>23</v>
      </c>
      <c r="E269" s="37" t="s">
        <v>18</v>
      </c>
      <c r="F269" s="37" t="s">
        <v>55</v>
      </c>
      <c r="G269" s="35" t="str">
        <f>_xlfn.XLOOKUP(F269,Lists!$J$2:$J$13,Lists!$K$2:$K$13,"Not Found")</f>
        <v>Office Supplies</v>
      </c>
      <c r="H269" s="37">
        <v>4</v>
      </c>
      <c r="I269" s="35">
        <f>_xlfn.XLOOKUP(F269,Lists!$D$2:$D$13,Lists!$E$2:$E$13,"Not Found")</f>
        <v>1500</v>
      </c>
      <c r="J269" s="47">
        <v>0.15</v>
      </c>
      <c r="K269" s="35">
        <f t="shared" si="9"/>
        <v>5100</v>
      </c>
      <c r="L269" s="37" t="s">
        <v>56</v>
      </c>
      <c r="M269" s="37" t="s">
        <v>33</v>
      </c>
      <c r="N269" s="4" t="str">
        <f>IF(I269=_xlfn.XLOOKUP(F269,Lists!$D$2:$D$13,Lists!$E$2:$E$13,"Not Found"),"OK","Check Price")</f>
        <v>OK</v>
      </c>
    </row>
    <row r="270" spans="1:14" ht="15.5" hidden="1" thickTop="1" thickBot="1" x14ac:dyDescent="0.4">
      <c r="A270" s="36" t="str">
        <f t="shared" si="8"/>
        <v>ORD0269</v>
      </c>
      <c r="B270" s="34">
        <v>45407</v>
      </c>
      <c r="C270" s="38" t="s">
        <v>64</v>
      </c>
      <c r="D270" s="38" t="s">
        <v>48</v>
      </c>
      <c r="E270" s="38" t="s">
        <v>18</v>
      </c>
      <c r="F270" s="38" t="s">
        <v>43</v>
      </c>
      <c r="G270" s="38" t="s">
        <v>30</v>
      </c>
      <c r="H270" s="38">
        <v>9</v>
      </c>
      <c r="I270" s="38">
        <v>5000</v>
      </c>
      <c r="J270" s="38">
        <v>0.15</v>
      </c>
      <c r="K270" s="38">
        <f t="shared" si="9"/>
        <v>38250</v>
      </c>
      <c r="L270" s="38" t="s">
        <v>21</v>
      </c>
      <c r="M270" s="38" t="s">
        <v>33</v>
      </c>
      <c r="N270" s="4" t="str">
        <f>IF(I270=_xlfn.XLOOKUP(F270,Lists!$D$2:$D$13,Lists!$E$2:$E$13,"Not Found"),"OK","Check Price")</f>
        <v>Check Price</v>
      </c>
    </row>
    <row r="271" spans="1:14" ht="15.5" hidden="1" thickTop="1" thickBot="1" x14ac:dyDescent="0.4">
      <c r="A271" s="36" t="str">
        <f t="shared" si="8"/>
        <v>ORD0270</v>
      </c>
      <c r="B271" s="34">
        <v>45961</v>
      </c>
      <c r="C271" s="37" t="s">
        <v>63</v>
      </c>
      <c r="D271" s="37" t="s">
        <v>17</v>
      </c>
      <c r="E271" s="37" t="s">
        <v>79</v>
      </c>
      <c r="F271" s="37" t="s">
        <v>57</v>
      </c>
      <c r="G271" s="37" t="s">
        <v>19</v>
      </c>
      <c r="H271" s="37">
        <v>6</v>
      </c>
      <c r="I271" s="37">
        <v>1200</v>
      </c>
      <c r="J271" s="37">
        <v>0.2</v>
      </c>
      <c r="K271" s="37">
        <f t="shared" si="9"/>
        <v>5760</v>
      </c>
      <c r="L271" s="37" t="s">
        <v>37</v>
      </c>
      <c r="M271" s="37" t="s">
        <v>38</v>
      </c>
      <c r="N271" s="4" t="str">
        <f>IF(I271=_xlfn.XLOOKUP(F271,Lists!$D$2:$D$13,Lists!$E$2:$E$13,"Not Found"),"OK","Check Price")</f>
        <v>Check Price</v>
      </c>
    </row>
    <row r="272" spans="1:14" ht="15.5" thickTop="1" thickBot="1" x14ac:dyDescent="0.4">
      <c r="A272" s="36" t="str">
        <f t="shared" si="8"/>
        <v>ORD0271</v>
      </c>
      <c r="B272" s="34">
        <v>45633</v>
      </c>
      <c r="C272" s="38" t="s">
        <v>75</v>
      </c>
      <c r="D272" s="38" t="s">
        <v>48</v>
      </c>
      <c r="E272" s="38" t="s">
        <v>18</v>
      </c>
      <c r="F272" s="38" t="s">
        <v>46</v>
      </c>
      <c r="G272" s="35" t="str">
        <f>_xlfn.XLOOKUP(F272,Lists!$J$2:$J$13,Lists!$K$2:$K$13,"Not Found")</f>
        <v>Furniture</v>
      </c>
      <c r="H272" s="38">
        <v>6</v>
      </c>
      <c r="I272" s="35">
        <f>_xlfn.XLOOKUP(F272,Lists!$D$2:$D$13,Lists!$E$2:$E$13,"Not Found")</f>
        <v>22000</v>
      </c>
      <c r="J272" s="48">
        <v>0.2</v>
      </c>
      <c r="K272" s="35">
        <f>H272*I272*(1-J272)</f>
        <v>105600</v>
      </c>
      <c r="L272" s="38" t="s">
        <v>32</v>
      </c>
      <c r="M272" s="38" t="s">
        <v>22</v>
      </c>
      <c r="N272" s="4" t="str">
        <f>IF(I272=_xlfn.XLOOKUP(F272,Lists!$D$2:$D$13,Lists!$E$2:$E$13,"Not Found"),"OK","Check Price")</f>
        <v>OK</v>
      </c>
    </row>
    <row r="273" spans="1:14" ht="15.5" hidden="1" thickTop="1" thickBot="1" x14ac:dyDescent="0.4">
      <c r="A273" s="36" t="str">
        <f t="shared" si="8"/>
        <v>ORD0272</v>
      </c>
      <c r="B273" s="34">
        <v>46010</v>
      </c>
      <c r="C273" s="37" t="s">
        <v>69</v>
      </c>
      <c r="D273" s="37" t="s">
        <v>34</v>
      </c>
      <c r="E273" s="37" t="s">
        <v>80</v>
      </c>
      <c r="F273" s="37" t="s">
        <v>58</v>
      </c>
      <c r="G273" s="37" t="s">
        <v>24</v>
      </c>
      <c r="H273" s="37">
        <v>9</v>
      </c>
      <c r="I273" s="37">
        <v>2000</v>
      </c>
      <c r="J273" s="37">
        <v>0.1</v>
      </c>
      <c r="K273" s="37">
        <f t="shared" si="9"/>
        <v>16200</v>
      </c>
      <c r="L273" s="37" t="s">
        <v>44</v>
      </c>
      <c r="M273" s="37" t="s">
        <v>27</v>
      </c>
      <c r="N273" s="4" t="str">
        <f>IF(I273=_xlfn.XLOOKUP(F273,Lists!$D$2:$D$13,Lists!$E$2:$E$13,"Not Found"),"OK","Check Price")</f>
        <v>Check Price</v>
      </c>
    </row>
    <row r="274" spans="1:14" ht="15.5" hidden="1" thickTop="1" thickBot="1" x14ac:dyDescent="0.4">
      <c r="A274" s="36" t="str">
        <f t="shared" si="8"/>
        <v>ORD0273</v>
      </c>
      <c r="B274" s="34">
        <v>45559</v>
      </c>
      <c r="C274" s="38" t="s">
        <v>75</v>
      </c>
      <c r="D274" s="38" t="s">
        <v>39</v>
      </c>
      <c r="E274" s="38" t="s">
        <v>119</v>
      </c>
      <c r="F274" s="38" t="s">
        <v>25</v>
      </c>
      <c r="G274" s="38" t="s">
        <v>24</v>
      </c>
      <c r="H274" s="38">
        <v>2</v>
      </c>
      <c r="I274" s="38">
        <v>5000</v>
      </c>
      <c r="J274" s="38">
        <v>0.1</v>
      </c>
      <c r="K274" s="38">
        <f t="shared" si="9"/>
        <v>9000</v>
      </c>
      <c r="L274" s="38" t="s">
        <v>50</v>
      </c>
      <c r="M274" s="38" t="s">
        <v>38</v>
      </c>
      <c r="N274" s="4" t="str">
        <f>IF(I274=_xlfn.XLOOKUP(F274,Lists!$D$2:$D$13,Lists!$E$2:$E$13,"Not Found"),"OK","Check Price")</f>
        <v>Check Price</v>
      </c>
    </row>
    <row r="275" spans="1:14" ht="15.5" thickTop="1" thickBot="1" x14ac:dyDescent="0.4">
      <c r="A275" s="36" t="str">
        <f t="shared" si="8"/>
        <v>ORD0274</v>
      </c>
      <c r="B275" s="34">
        <v>45591</v>
      </c>
      <c r="C275" s="37" t="s">
        <v>70</v>
      </c>
      <c r="D275" s="37" t="s">
        <v>28</v>
      </c>
      <c r="E275" s="37" t="s">
        <v>35</v>
      </c>
      <c r="F275" s="37" t="s">
        <v>46</v>
      </c>
      <c r="G275" s="35" t="str">
        <f>_xlfn.XLOOKUP(F275,Lists!$J$2:$J$13,Lists!$K$2:$K$13,"Not Found")</f>
        <v>Furniture</v>
      </c>
      <c r="H275" s="37">
        <v>9</v>
      </c>
      <c r="I275" s="35">
        <f>_xlfn.XLOOKUP(F275,Lists!$D$2:$D$13,Lists!$E$2:$E$13,"Not Found")</f>
        <v>22000</v>
      </c>
      <c r="J275" s="47">
        <v>0.05</v>
      </c>
      <c r="K275" s="35">
        <f t="shared" si="9"/>
        <v>188100</v>
      </c>
      <c r="L275" s="37" t="s">
        <v>44</v>
      </c>
      <c r="M275" s="37" t="s">
        <v>22</v>
      </c>
      <c r="N275" s="4" t="str">
        <f>IF(I275=_xlfn.XLOOKUP(F275,Lists!$D$2:$D$13,Lists!$E$2:$E$13,"Not Found"),"OK","Check Price")</f>
        <v>OK</v>
      </c>
    </row>
    <row r="276" spans="1:14" ht="15.5" thickTop="1" thickBot="1" x14ac:dyDescent="0.4">
      <c r="A276" s="36" t="str">
        <f t="shared" si="8"/>
        <v>ORD0275</v>
      </c>
      <c r="B276" s="34">
        <v>45943</v>
      </c>
      <c r="C276" s="38" t="s">
        <v>71</v>
      </c>
      <c r="D276" s="38" t="s">
        <v>39</v>
      </c>
      <c r="E276" s="38" t="s">
        <v>35</v>
      </c>
      <c r="F276" s="38" t="s">
        <v>46</v>
      </c>
      <c r="G276" s="35" t="str">
        <f>_xlfn.XLOOKUP(F276,Lists!$J$2:$J$13,Lists!$K$2:$K$13,"Not Found")</f>
        <v>Furniture</v>
      </c>
      <c r="H276" s="38">
        <v>7</v>
      </c>
      <c r="I276" s="35">
        <f>_xlfn.XLOOKUP(F276,Lists!$D$2:$D$13,Lists!$E$2:$E$13,"Not Found")</f>
        <v>22000</v>
      </c>
      <c r="J276" s="48">
        <v>0.2</v>
      </c>
      <c r="K276" s="35">
        <f t="shared" si="9"/>
        <v>123200</v>
      </c>
      <c r="L276" s="38" t="s">
        <v>32</v>
      </c>
      <c r="M276" s="38" t="s">
        <v>27</v>
      </c>
      <c r="N276" s="4" t="str">
        <f>IF(I276=_xlfn.XLOOKUP(F276,Lists!$D$2:$D$13,Lists!$E$2:$E$13,"Not Found"),"OK","Check Price")</f>
        <v>OK</v>
      </c>
    </row>
    <row r="277" spans="1:14" ht="15.5" hidden="1" thickTop="1" thickBot="1" x14ac:dyDescent="0.4">
      <c r="A277" s="36" t="str">
        <f t="shared" si="8"/>
        <v>ORD0276</v>
      </c>
      <c r="B277" s="34">
        <v>45925</v>
      </c>
      <c r="C277" s="37" t="s">
        <v>64</v>
      </c>
      <c r="D277" s="37" t="s">
        <v>17</v>
      </c>
      <c r="E277" s="37" t="s">
        <v>119</v>
      </c>
      <c r="F277" s="37" t="s">
        <v>43</v>
      </c>
      <c r="G277" s="37" t="s">
        <v>30</v>
      </c>
      <c r="H277" s="37">
        <v>5</v>
      </c>
      <c r="I277" s="37">
        <v>28000</v>
      </c>
      <c r="J277" s="37">
        <v>0.15</v>
      </c>
      <c r="K277" s="37">
        <f t="shared" si="9"/>
        <v>119000</v>
      </c>
      <c r="L277" s="37" t="s">
        <v>21</v>
      </c>
      <c r="M277" s="37" t="s">
        <v>33</v>
      </c>
      <c r="N277" s="4" t="str">
        <f>IF(I277=_xlfn.XLOOKUP(F277,Lists!$D$2:$D$13,Lists!$E$2:$E$13,"Not Found"),"OK","Check Price")</f>
        <v>Check Price</v>
      </c>
    </row>
    <row r="278" spans="1:14" ht="15.5" hidden="1" thickTop="1" thickBot="1" x14ac:dyDescent="0.4">
      <c r="A278" s="36" t="str">
        <f t="shared" si="8"/>
        <v>ORD0277</v>
      </c>
      <c r="B278" s="34">
        <v>45791</v>
      </c>
      <c r="C278" s="38" t="s">
        <v>74</v>
      </c>
      <c r="D278" s="38" t="s">
        <v>23</v>
      </c>
      <c r="E278" s="38" t="s">
        <v>119</v>
      </c>
      <c r="F278" s="38" t="s">
        <v>36</v>
      </c>
      <c r="G278" s="38" t="s">
        <v>30</v>
      </c>
      <c r="H278" s="38">
        <v>5</v>
      </c>
      <c r="I278" s="38">
        <v>350</v>
      </c>
      <c r="J278" s="38">
        <v>0.05</v>
      </c>
      <c r="K278" s="38">
        <f t="shared" si="9"/>
        <v>1662.5</v>
      </c>
      <c r="L278" s="38" t="s">
        <v>53</v>
      </c>
      <c r="M278" s="38" t="s">
        <v>22</v>
      </c>
      <c r="N278" s="4" t="str">
        <f>IF(I278=_xlfn.XLOOKUP(F278,Lists!$D$2:$D$13,Lists!$E$2:$E$13,"Not Found"),"OK","Check Price")</f>
        <v>Check Price</v>
      </c>
    </row>
    <row r="279" spans="1:14" ht="15.5" hidden="1" thickTop="1" thickBot="1" x14ac:dyDescent="0.4">
      <c r="A279" s="36" t="str">
        <f t="shared" si="8"/>
        <v>ORD0278</v>
      </c>
      <c r="B279" s="34">
        <v>45564</v>
      </c>
      <c r="C279" s="37" t="s">
        <v>67</v>
      </c>
      <c r="D279" s="37" t="s">
        <v>54</v>
      </c>
      <c r="E279" s="37" t="s">
        <v>119</v>
      </c>
      <c r="F279" s="37" t="s">
        <v>43</v>
      </c>
      <c r="G279" s="37" t="s">
        <v>19</v>
      </c>
      <c r="H279" s="37">
        <v>9</v>
      </c>
      <c r="I279" s="37">
        <v>4000</v>
      </c>
      <c r="J279" s="37">
        <v>0.15</v>
      </c>
      <c r="K279" s="37">
        <f t="shared" si="9"/>
        <v>30600</v>
      </c>
      <c r="L279" s="37" t="s">
        <v>37</v>
      </c>
      <c r="M279" s="37" t="s">
        <v>27</v>
      </c>
      <c r="N279" s="4" t="str">
        <f>IF(I279=_xlfn.XLOOKUP(F279,Lists!$D$2:$D$13,Lists!$E$2:$E$13,"Not Found"),"OK","Check Price")</f>
        <v>Check Price</v>
      </c>
    </row>
    <row r="280" spans="1:14" ht="15.5" hidden="1" thickTop="1" thickBot="1" x14ac:dyDescent="0.4">
      <c r="A280" s="36" t="str">
        <f t="shared" si="8"/>
        <v>ORD0279</v>
      </c>
      <c r="B280" s="34">
        <v>45684</v>
      </c>
      <c r="C280" s="38" t="s">
        <v>63</v>
      </c>
      <c r="D280" s="38" t="s">
        <v>54</v>
      </c>
      <c r="E280" s="38" t="s">
        <v>29</v>
      </c>
      <c r="F280" s="38" t="s">
        <v>57</v>
      </c>
      <c r="G280" s="38" t="s">
        <v>30</v>
      </c>
      <c r="H280" s="38">
        <v>7</v>
      </c>
      <c r="I280" s="38">
        <v>4000</v>
      </c>
      <c r="J280" s="38">
        <v>0.1</v>
      </c>
      <c r="K280" s="38">
        <f t="shared" si="9"/>
        <v>25200</v>
      </c>
      <c r="L280" s="38" t="s">
        <v>44</v>
      </c>
      <c r="M280" s="38" t="s">
        <v>22</v>
      </c>
      <c r="N280" s="4" t="str">
        <f>IF(I280=_xlfn.XLOOKUP(F280,Lists!$D$2:$D$13,Lists!$E$2:$E$13,"Not Found"),"OK","Check Price")</f>
        <v>Check Price</v>
      </c>
    </row>
    <row r="281" spans="1:14" ht="15.5" hidden="1" thickTop="1" thickBot="1" x14ac:dyDescent="0.4">
      <c r="A281" s="36" t="str">
        <f t="shared" si="8"/>
        <v>ORD0280</v>
      </c>
      <c r="B281" s="34">
        <v>45329</v>
      </c>
      <c r="C281" s="37" t="s">
        <v>75</v>
      </c>
      <c r="D281" s="37" t="s">
        <v>54</v>
      </c>
      <c r="E281" s="37" t="s">
        <v>35</v>
      </c>
      <c r="F281" s="37" t="s">
        <v>58</v>
      </c>
      <c r="G281" s="37" t="s">
        <v>19</v>
      </c>
      <c r="H281" s="37">
        <v>6</v>
      </c>
      <c r="I281" s="37">
        <v>12000</v>
      </c>
      <c r="J281" s="37">
        <v>0.05</v>
      </c>
      <c r="K281" s="37">
        <f t="shared" si="9"/>
        <v>68400</v>
      </c>
      <c r="L281" s="37" t="s">
        <v>41</v>
      </c>
      <c r="M281" s="37" t="s">
        <v>38</v>
      </c>
      <c r="N281" s="4" t="str">
        <f>IF(I281=_xlfn.XLOOKUP(F281,Lists!$D$2:$D$13,Lists!$E$2:$E$13,"Not Found"),"OK","Check Price")</f>
        <v>Check Price</v>
      </c>
    </row>
    <row r="282" spans="1:14" ht="15.5" hidden="1" thickTop="1" thickBot="1" x14ac:dyDescent="0.4">
      <c r="A282" s="36" t="str">
        <f t="shared" si="8"/>
        <v>ORD0281</v>
      </c>
      <c r="B282" s="34">
        <v>45321</v>
      </c>
      <c r="C282" s="38" t="s">
        <v>66</v>
      </c>
      <c r="D282" s="38" t="s">
        <v>23</v>
      </c>
      <c r="E282" s="38" t="s">
        <v>35</v>
      </c>
      <c r="F282" s="38" t="s">
        <v>57</v>
      </c>
      <c r="G282" s="38" t="s">
        <v>30</v>
      </c>
      <c r="H282" s="38">
        <v>7</v>
      </c>
      <c r="I282" s="38">
        <v>5000</v>
      </c>
      <c r="J282" s="38">
        <v>0.15</v>
      </c>
      <c r="K282" s="38">
        <f t="shared" si="9"/>
        <v>29750</v>
      </c>
      <c r="L282" s="38" t="s">
        <v>56</v>
      </c>
      <c r="M282" s="38" t="s">
        <v>33</v>
      </c>
      <c r="N282" s="4" t="str">
        <f>IF(I282=_xlfn.XLOOKUP(F282,Lists!$D$2:$D$13,Lists!$E$2:$E$13,"Not Found"),"OK","Check Price")</f>
        <v>Check Price</v>
      </c>
    </row>
    <row r="283" spans="1:14" ht="15.5" thickTop="1" thickBot="1" x14ac:dyDescent="0.4">
      <c r="A283" s="36" t="str">
        <f t="shared" si="8"/>
        <v>ORD0282</v>
      </c>
      <c r="B283" s="34">
        <v>45814</v>
      </c>
      <c r="C283" s="37" t="s">
        <v>60</v>
      </c>
      <c r="D283" s="37" t="s">
        <v>51</v>
      </c>
      <c r="E283" s="37" t="s">
        <v>18</v>
      </c>
      <c r="F283" s="37" t="s">
        <v>46</v>
      </c>
      <c r="G283" s="35" t="str">
        <f>_xlfn.XLOOKUP(F283,Lists!$J$2:$J$13,Lists!$K$2:$K$13,"Not Found")</f>
        <v>Furniture</v>
      </c>
      <c r="H283" s="37">
        <v>3</v>
      </c>
      <c r="I283" s="35">
        <f>_xlfn.XLOOKUP(F283,Lists!$D$2:$D$13,Lists!$E$2:$E$13,"Not Found")</f>
        <v>22000</v>
      </c>
      <c r="J283" s="47">
        <v>0.1</v>
      </c>
      <c r="K283" s="35">
        <f>H283*I283*(1-J283)</f>
        <v>59400</v>
      </c>
      <c r="L283" s="37" t="s">
        <v>50</v>
      </c>
      <c r="M283" s="37" t="s">
        <v>22</v>
      </c>
      <c r="N283" s="4" t="str">
        <f>IF(I283=_xlfn.XLOOKUP(F283,Lists!$D$2:$D$13,Lists!$E$2:$E$13,"Not Found"),"OK","Check Price")</f>
        <v>OK</v>
      </c>
    </row>
    <row r="284" spans="1:14" ht="15.5" hidden="1" thickTop="1" thickBot="1" x14ac:dyDescent="0.4">
      <c r="A284" s="36" t="str">
        <f t="shared" si="8"/>
        <v>ORD0283</v>
      </c>
      <c r="B284" s="34">
        <v>45649</v>
      </c>
      <c r="C284" s="38" t="s">
        <v>61</v>
      </c>
      <c r="D284" s="38" t="s">
        <v>48</v>
      </c>
      <c r="E284" s="38" t="s">
        <v>18</v>
      </c>
      <c r="F284" s="38" t="s">
        <v>31</v>
      </c>
      <c r="G284" s="38" t="s">
        <v>30</v>
      </c>
      <c r="H284" s="38">
        <v>9</v>
      </c>
      <c r="I284" s="38">
        <v>4000</v>
      </c>
      <c r="J284" s="38">
        <v>0.15</v>
      </c>
      <c r="K284" s="38">
        <f t="shared" si="9"/>
        <v>30600</v>
      </c>
      <c r="L284" s="38" t="s">
        <v>32</v>
      </c>
      <c r="M284" s="38" t="s">
        <v>27</v>
      </c>
      <c r="N284" s="4" t="str">
        <f>IF(I284=_xlfn.XLOOKUP(F284,Lists!$D$2:$D$13,Lists!$E$2:$E$13,"Not Found"),"OK","Check Price")</f>
        <v>OK</v>
      </c>
    </row>
    <row r="285" spans="1:14" ht="15.5" hidden="1" thickTop="1" thickBot="1" x14ac:dyDescent="0.4">
      <c r="A285" s="36" t="str">
        <f t="shared" si="8"/>
        <v>ORD0284</v>
      </c>
      <c r="B285" s="34">
        <v>45680</v>
      </c>
      <c r="C285" s="37" t="s">
        <v>65</v>
      </c>
      <c r="D285" s="37" t="s">
        <v>17</v>
      </c>
      <c r="E285" s="37" t="s">
        <v>80</v>
      </c>
      <c r="F285" s="37" t="s">
        <v>36</v>
      </c>
      <c r="G285" s="37" t="s">
        <v>24</v>
      </c>
      <c r="H285" s="37">
        <v>9</v>
      </c>
      <c r="I285" s="37">
        <v>12000</v>
      </c>
      <c r="J285" s="37">
        <v>0.05</v>
      </c>
      <c r="K285" s="37">
        <f t="shared" si="9"/>
        <v>102600</v>
      </c>
      <c r="L285" s="37" t="s">
        <v>53</v>
      </c>
      <c r="M285" s="37" t="s">
        <v>22</v>
      </c>
      <c r="N285" s="4" t="str">
        <f>IF(I285=_xlfn.XLOOKUP(F285,Lists!$D$2:$D$13,Lists!$E$2:$E$13,"Not Found"),"OK","Check Price")</f>
        <v>Check Price</v>
      </c>
    </row>
    <row r="286" spans="1:14" ht="15.5" hidden="1" thickTop="1" thickBot="1" x14ac:dyDescent="0.4">
      <c r="A286" s="36" t="str">
        <f t="shared" si="8"/>
        <v>ORD0285</v>
      </c>
      <c r="B286" s="34">
        <v>45468</v>
      </c>
      <c r="C286" s="38" t="s">
        <v>73</v>
      </c>
      <c r="D286" s="38" t="s">
        <v>45</v>
      </c>
      <c r="E286" s="38" t="s">
        <v>35</v>
      </c>
      <c r="F286" s="38" t="s">
        <v>31</v>
      </c>
      <c r="G286" s="38" t="s">
        <v>19</v>
      </c>
      <c r="H286" s="38">
        <v>10</v>
      </c>
      <c r="I286" s="38">
        <v>1200</v>
      </c>
      <c r="J286" s="38">
        <v>0.25</v>
      </c>
      <c r="K286" s="38">
        <f t="shared" si="9"/>
        <v>9000</v>
      </c>
      <c r="L286" s="38" t="s">
        <v>56</v>
      </c>
      <c r="M286" s="38" t="s">
        <v>22</v>
      </c>
      <c r="N286" s="4" t="str">
        <f>IF(I286=_xlfn.XLOOKUP(F286,Lists!$D$2:$D$13,Lists!$E$2:$E$13,"Not Found"),"OK","Check Price")</f>
        <v>Check Price</v>
      </c>
    </row>
    <row r="287" spans="1:14" ht="15.5" hidden="1" thickTop="1" thickBot="1" x14ac:dyDescent="0.4">
      <c r="A287" s="36" t="str">
        <f t="shared" si="8"/>
        <v>ORD0286</v>
      </c>
      <c r="B287" s="34">
        <v>45714</v>
      </c>
      <c r="C287" s="37" t="s">
        <v>62</v>
      </c>
      <c r="D287" s="37" t="s">
        <v>23</v>
      </c>
      <c r="E287" s="37" t="s">
        <v>18</v>
      </c>
      <c r="F287" s="37" t="s">
        <v>52</v>
      </c>
      <c r="G287" s="37" t="s">
        <v>24</v>
      </c>
      <c r="H287" s="37">
        <v>9</v>
      </c>
      <c r="I287" s="37">
        <v>85000</v>
      </c>
      <c r="J287" s="37">
        <v>0.15</v>
      </c>
      <c r="K287" s="37">
        <f t="shared" si="9"/>
        <v>650250</v>
      </c>
      <c r="L287" s="37" t="s">
        <v>26</v>
      </c>
      <c r="M287" s="37" t="s">
        <v>38</v>
      </c>
      <c r="N287" s="4" t="str">
        <f>IF(I287=_xlfn.XLOOKUP(F287,Lists!$D$2:$D$13,Lists!$E$2:$E$13,"Not Found"),"OK","Check Price")</f>
        <v>Check Price</v>
      </c>
    </row>
    <row r="288" spans="1:14" ht="15.5" hidden="1" thickTop="1" thickBot="1" x14ac:dyDescent="0.4">
      <c r="A288" s="36" t="str">
        <f t="shared" si="8"/>
        <v>ORD0287</v>
      </c>
      <c r="B288" s="34">
        <v>45686</v>
      </c>
      <c r="C288" s="38" t="s">
        <v>70</v>
      </c>
      <c r="D288" s="38" t="s">
        <v>45</v>
      </c>
      <c r="E288" s="38" t="s">
        <v>119</v>
      </c>
      <c r="F288" s="38" t="s">
        <v>25</v>
      </c>
      <c r="G288" s="38" t="s">
        <v>19</v>
      </c>
      <c r="H288" s="38">
        <v>8</v>
      </c>
      <c r="I288" s="38">
        <v>2000</v>
      </c>
      <c r="J288" s="38">
        <v>0.15</v>
      </c>
      <c r="K288" s="38">
        <f t="shared" si="9"/>
        <v>13600</v>
      </c>
      <c r="L288" s="38" t="s">
        <v>50</v>
      </c>
      <c r="M288" s="38" t="s">
        <v>33</v>
      </c>
      <c r="N288" s="4" t="str">
        <f>IF(I288=_xlfn.XLOOKUP(F288,Lists!$D$2:$D$13,Lists!$E$2:$E$13,"Not Found"),"OK","Check Price")</f>
        <v>Check Price</v>
      </c>
    </row>
    <row r="289" spans="1:14" ht="15.5" thickTop="1" thickBot="1" x14ac:dyDescent="0.4">
      <c r="A289" s="36" t="str">
        <f t="shared" si="8"/>
        <v>ORD0288</v>
      </c>
      <c r="B289" s="34">
        <v>45773</v>
      </c>
      <c r="C289" s="37" t="s">
        <v>73</v>
      </c>
      <c r="D289" s="37" t="s">
        <v>45</v>
      </c>
      <c r="E289" s="37" t="s">
        <v>29</v>
      </c>
      <c r="F289" s="37" t="s">
        <v>20</v>
      </c>
      <c r="G289" s="35" t="str">
        <f>_xlfn.XLOOKUP(F289,Lists!$J$2:$J$13,Lists!$K$2:$K$13,"Not Found")</f>
        <v>Electronics</v>
      </c>
      <c r="H289" s="37">
        <v>8</v>
      </c>
      <c r="I289" s="35">
        <f>_xlfn.XLOOKUP(F289,Lists!$D$2:$D$13,Lists!$E$2:$E$13,"Not Found")</f>
        <v>85000</v>
      </c>
      <c r="J289" s="47">
        <v>0.05</v>
      </c>
      <c r="K289" s="35">
        <f t="shared" si="9"/>
        <v>646000</v>
      </c>
      <c r="L289" s="37" t="s">
        <v>47</v>
      </c>
      <c r="M289" s="37" t="s">
        <v>22</v>
      </c>
      <c r="N289" s="4" t="str">
        <f>IF(I289=_xlfn.XLOOKUP(F289,Lists!$D$2:$D$13,Lists!$E$2:$E$13,"Not Found"),"OK","Check Price")</f>
        <v>OK</v>
      </c>
    </row>
    <row r="290" spans="1:14" ht="15.5" thickTop="1" thickBot="1" x14ac:dyDescent="0.4">
      <c r="A290" s="36" t="str">
        <f t="shared" si="8"/>
        <v>ORD0289</v>
      </c>
      <c r="B290" s="34">
        <v>45855</v>
      </c>
      <c r="C290" s="38" t="s">
        <v>70</v>
      </c>
      <c r="D290" s="38" t="s">
        <v>23</v>
      </c>
      <c r="E290" s="38" t="s">
        <v>18</v>
      </c>
      <c r="F290" s="38" t="s">
        <v>20</v>
      </c>
      <c r="G290" s="35" t="str">
        <f>_xlfn.XLOOKUP(F290,Lists!$J$2:$J$13,Lists!$K$2:$K$13,"Not Found")</f>
        <v>Electronics</v>
      </c>
      <c r="H290" s="38">
        <v>5</v>
      </c>
      <c r="I290" s="35">
        <f>_xlfn.XLOOKUP(F290,Lists!$D$2:$D$13,Lists!$E$2:$E$13,"Not Found")</f>
        <v>85000</v>
      </c>
      <c r="J290" s="48">
        <v>0.05</v>
      </c>
      <c r="K290" s="35">
        <f t="shared" si="9"/>
        <v>403750</v>
      </c>
      <c r="L290" s="38" t="s">
        <v>41</v>
      </c>
      <c r="M290" s="38" t="s">
        <v>22</v>
      </c>
      <c r="N290" s="4" t="str">
        <f>IF(I290=_xlfn.XLOOKUP(F290,Lists!$D$2:$D$13,Lists!$E$2:$E$13,"Not Found"),"OK","Check Price")</f>
        <v>OK</v>
      </c>
    </row>
    <row r="291" spans="1:14" ht="15.5" hidden="1" thickTop="1" thickBot="1" x14ac:dyDescent="0.4">
      <c r="A291" s="36" t="str">
        <f t="shared" si="8"/>
        <v>ORD0290</v>
      </c>
      <c r="B291" s="34">
        <v>45764</v>
      </c>
      <c r="C291" s="37" t="s">
        <v>64</v>
      </c>
      <c r="D291" s="37" t="s">
        <v>42</v>
      </c>
      <c r="E291" s="37" t="s">
        <v>35</v>
      </c>
      <c r="F291" s="37" t="s">
        <v>58</v>
      </c>
      <c r="G291" s="37" t="s">
        <v>30</v>
      </c>
      <c r="H291" s="37">
        <v>9</v>
      </c>
      <c r="I291" s="37">
        <v>1200</v>
      </c>
      <c r="J291" s="37">
        <v>0.25</v>
      </c>
      <c r="K291" s="37">
        <f t="shared" si="9"/>
        <v>8100</v>
      </c>
      <c r="L291" s="37" t="s">
        <v>47</v>
      </c>
      <c r="M291" s="37" t="s">
        <v>22</v>
      </c>
      <c r="N291" s="4" t="str">
        <f>IF(I291=_xlfn.XLOOKUP(F291,Lists!$D$2:$D$13,Lists!$E$2:$E$13,"Not Found"),"OK","Check Price")</f>
        <v>Check Price</v>
      </c>
    </row>
    <row r="292" spans="1:14" ht="15.5" thickTop="1" thickBot="1" x14ac:dyDescent="0.4">
      <c r="A292" s="36" t="str">
        <f t="shared" si="8"/>
        <v>ORD0291</v>
      </c>
      <c r="B292" s="34">
        <v>45648</v>
      </c>
      <c r="C292" s="38" t="s">
        <v>59</v>
      </c>
      <c r="D292" s="38" t="s">
        <v>42</v>
      </c>
      <c r="E292" s="38" t="s">
        <v>119</v>
      </c>
      <c r="F292" s="38" t="s">
        <v>55</v>
      </c>
      <c r="G292" s="35" t="str">
        <f>_xlfn.XLOOKUP(F292,Lists!$J$2:$J$13,Lists!$K$2:$K$13,"Not Found")</f>
        <v>Office Supplies</v>
      </c>
      <c r="H292" s="38">
        <v>6</v>
      </c>
      <c r="I292" s="35">
        <f>_xlfn.XLOOKUP(F292,Lists!$D$2:$D$13,Lists!$E$2:$E$13,"Not Found")</f>
        <v>1500</v>
      </c>
      <c r="J292" s="48">
        <v>0.1</v>
      </c>
      <c r="K292" s="35">
        <f>H292*I292*(1-J292)</f>
        <v>8100</v>
      </c>
      <c r="L292" s="38" t="s">
        <v>26</v>
      </c>
      <c r="M292" s="38" t="s">
        <v>38</v>
      </c>
      <c r="N292" s="4" t="str">
        <f>IF(I292=_xlfn.XLOOKUP(F292,Lists!$D$2:$D$13,Lists!$E$2:$E$13,"Not Found"),"OK","Check Price")</f>
        <v>OK</v>
      </c>
    </row>
    <row r="293" spans="1:14" ht="15.5" hidden="1" thickTop="1" thickBot="1" x14ac:dyDescent="0.4">
      <c r="A293" s="36" t="str">
        <f t="shared" si="8"/>
        <v>ORD0292</v>
      </c>
      <c r="B293" s="34">
        <v>46014</v>
      </c>
      <c r="C293" s="37" t="s">
        <v>76</v>
      </c>
      <c r="D293" s="37" t="s">
        <v>48</v>
      </c>
      <c r="E293" s="37" t="s">
        <v>29</v>
      </c>
      <c r="F293" s="37" t="s">
        <v>36</v>
      </c>
      <c r="G293" s="37" t="s">
        <v>19</v>
      </c>
      <c r="H293" s="37">
        <v>8</v>
      </c>
      <c r="I293" s="37">
        <v>4000</v>
      </c>
      <c r="J293" s="37">
        <v>0.1</v>
      </c>
      <c r="K293" s="37">
        <f t="shared" si="9"/>
        <v>28800</v>
      </c>
      <c r="L293" s="37" t="s">
        <v>47</v>
      </c>
      <c r="M293" s="37" t="s">
        <v>27</v>
      </c>
      <c r="N293" s="4" t="str">
        <f>IF(I293=_xlfn.XLOOKUP(F293,Lists!$D$2:$D$13,Lists!$E$2:$E$13,"Not Found"),"OK","Check Price")</f>
        <v>Check Price</v>
      </c>
    </row>
    <row r="294" spans="1:14" ht="15.5" hidden="1" thickTop="1" thickBot="1" x14ac:dyDescent="0.4">
      <c r="A294" s="36" t="str">
        <f t="shared" si="8"/>
        <v>ORD0293</v>
      </c>
      <c r="B294" s="34">
        <v>45634</v>
      </c>
      <c r="C294" s="38" t="s">
        <v>69</v>
      </c>
      <c r="D294" s="38" t="s">
        <v>48</v>
      </c>
      <c r="E294" s="38" t="s">
        <v>79</v>
      </c>
      <c r="F294" s="38" t="s">
        <v>25</v>
      </c>
      <c r="G294" s="38" t="s">
        <v>30</v>
      </c>
      <c r="H294" s="38">
        <v>4</v>
      </c>
      <c r="I294" s="38">
        <v>5000</v>
      </c>
      <c r="J294" s="38">
        <v>0.25</v>
      </c>
      <c r="K294" s="38">
        <f t="shared" si="9"/>
        <v>15000</v>
      </c>
      <c r="L294" s="38" t="s">
        <v>37</v>
      </c>
      <c r="M294" s="38" t="s">
        <v>27</v>
      </c>
      <c r="N294" s="4" t="str">
        <f>IF(I294=_xlfn.XLOOKUP(F294,Lists!$D$2:$D$13,Lists!$E$2:$E$13,"Not Found"),"OK","Check Price")</f>
        <v>Check Price</v>
      </c>
    </row>
    <row r="295" spans="1:14" ht="15.5" thickTop="1" thickBot="1" x14ac:dyDescent="0.4">
      <c r="A295" s="36" t="str">
        <f t="shared" si="8"/>
        <v>ORD0294</v>
      </c>
      <c r="B295" s="34">
        <v>45343</v>
      </c>
      <c r="C295" s="37" t="s">
        <v>63</v>
      </c>
      <c r="D295" s="37" t="s">
        <v>48</v>
      </c>
      <c r="E295" s="37" t="s">
        <v>79</v>
      </c>
      <c r="F295" s="37" t="s">
        <v>46</v>
      </c>
      <c r="G295" s="35" t="str">
        <f>_xlfn.XLOOKUP(F295,Lists!$J$2:$J$13,Lists!$K$2:$K$13,"Not Found")</f>
        <v>Furniture</v>
      </c>
      <c r="H295" s="37">
        <v>6</v>
      </c>
      <c r="I295" s="35">
        <f>_xlfn.XLOOKUP(F295,Lists!$D$2:$D$13,Lists!$E$2:$E$13,"Not Found")</f>
        <v>22000</v>
      </c>
      <c r="J295" s="47">
        <v>0.15</v>
      </c>
      <c r="K295" s="35">
        <f>H295*I295*(1-J295)</f>
        <v>112200</v>
      </c>
      <c r="L295" s="37" t="s">
        <v>44</v>
      </c>
      <c r="M295" s="37" t="s">
        <v>27</v>
      </c>
      <c r="N295" s="4" t="str">
        <f>IF(I295=_xlfn.XLOOKUP(F295,Lists!$D$2:$D$13,Lists!$E$2:$E$13,"Not Found"),"OK","Check Price")</f>
        <v>OK</v>
      </c>
    </row>
    <row r="296" spans="1:14" ht="15.5" hidden="1" thickTop="1" thickBot="1" x14ac:dyDescent="0.4">
      <c r="A296" s="36" t="str">
        <f t="shared" si="8"/>
        <v>ORD0295</v>
      </c>
      <c r="B296" s="34">
        <v>45471</v>
      </c>
      <c r="C296" s="38" t="s">
        <v>59</v>
      </c>
      <c r="D296" s="38" t="s">
        <v>39</v>
      </c>
      <c r="E296" s="38" t="s">
        <v>79</v>
      </c>
      <c r="F296" s="38" t="s">
        <v>58</v>
      </c>
      <c r="G296" s="38" t="s">
        <v>24</v>
      </c>
      <c r="H296" s="38">
        <v>8</v>
      </c>
      <c r="I296" s="38">
        <v>5000</v>
      </c>
      <c r="J296" s="38">
        <v>0.1</v>
      </c>
      <c r="K296" s="38">
        <f t="shared" si="9"/>
        <v>36000</v>
      </c>
      <c r="L296" s="38" t="s">
        <v>26</v>
      </c>
      <c r="M296" s="38" t="s">
        <v>38</v>
      </c>
      <c r="N296" s="4" t="str">
        <f>IF(I296=_xlfn.XLOOKUP(F296,Lists!$D$2:$D$13,Lists!$E$2:$E$13,"Not Found"),"OK","Check Price")</f>
        <v>OK</v>
      </c>
    </row>
    <row r="297" spans="1:14" ht="15.5" hidden="1" thickTop="1" thickBot="1" x14ac:dyDescent="0.4">
      <c r="A297" s="36" t="str">
        <f t="shared" si="8"/>
        <v>ORD0296</v>
      </c>
      <c r="B297" s="34">
        <v>45959</v>
      </c>
      <c r="C297" s="37" t="s">
        <v>78</v>
      </c>
      <c r="D297" s="37" t="s">
        <v>54</v>
      </c>
      <c r="E297" s="37" t="s">
        <v>119</v>
      </c>
      <c r="F297" s="37" t="s">
        <v>43</v>
      </c>
      <c r="G297" s="37" t="s">
        <v>24</v>
      </c>
      <c r="H297" s="37">
        <v>6</v>
      </c>
      <c r="I297" s="37">
        <v>350</v>
      </c>
      <c r="J297" s="37">
        <v>0.1</v>
      </c>
      <c r="K297" s="37">
        <f t="shared" si="9"/>
        <v>1890</v>
      </c>
      <c r="L297" s="37" t="s">
        <v>44</v>
      </c>
      <c r="M297" s="37" t="s">
        <v>22</v>
      </c>
      <c r="N297" s="4" t="str">
        <f>IF(I297=_xlfn.XLOOKUP(F297,Lists!$D$2:$D$13,Lists!$E$2:$E$13,"Not Found"),"OK","Check Price")</f>
        <v>Check Price</v>
      </c>
    </row>
    <row r="298" spans="1:14" ht="15.5" thickTop="1" thickBot="1" x14ac:dyDescent="0.4">
      <c r="A298" s="36" t="str">
        <f t="shared" si="8"/>
        <v>ORD0297</v>
      </c>
      <c r="B298" s="34">
        <v>45335</v>
      </c>
      <c r="C298" s="38" t="s">
        <v>67</v>
      </c>
      <c r="D298" s="38" t="s">
        <v>45</v>
      </c>
      <c r="E298" s="38" t="s">
        <v>35</v>
      </c>
      <c r="F298" s="38" t="s">
        <v>20</v>
      </c>
      <c r="G298" s="35" t="str">
        <f>_xlfn.XLOOKUP(F298,Lists!$J$2:$J$13,Lists!$K$2:$K$13,"Not Found")</f>
        <v>Electronics</v>
      </c>
      <c r="H298" s="38">
        <v>1</v>
      </c>
      <c r="I298" s="35">
        <f>_xlfn.XLOOKUP(F298,Lists!$D$2:$D$13,Lists!$E$2:$E$13,"Not Found")</f>
        <v>85000</v>
      </c>
      <c r="J298" s="48">
        <v>0.05</v>
      </c>
      <c r="K298" s="35">
        <f t="shared" si="9"/>
        <v>80750</v>
      </c>
      <c r="L298" s="38" t="s">
        <v>26</v>
      </c>
      <c r="M298" s="38" t="s">
        <v>22</v>
      </c>
      <c r="N298" s="4" t="str">
        <f>IF(I298=_xlfn.XLOOKUP(F298,Lists!$D$2:$D$13,Lists!$E$2:$E$13,"Not Found"),"OK","Check Price")</f>
        <v>OK</v>
      </c>
    </row>
    <row r="299" spans="1:14" ht="15.5" thickTop="1" thickBot="1" x14ac:dyDescent="0.4">
      <c r="A299" s="36" t="str">
        <f t="shared" si="8"/>
        <v>ORD0298</v>
      </c>
      <c r="B299" s="34">
        <v>45360</v>
      </c>
      <c r="C299" s="37" t="s">
        <v>63</v>
      </c>
      <c r="D299" s="37" t="s">
        <v>28</v>
      </c>
      <c r="E299" s="37" t="s">
        <v>79</v>
      </c>
      <c r="F299" s="37" t="s">
        <v>46</v>
      </c>
      <c r="G299" s="35" t="str">
        <f>_xlfn.XLOOKUP(F299,Lists!$J$2:$J$13,Lists!$K$2:$K$13,"Not Found")</f>
        <v>Furniture</v>
      </c>
      <c r="H299" s="37">
        <v>1</v>
      </c>
      <c r="I299" s="35">
        <f>_xlfn.XLOOKUP(F299,Lists!$D$2:$D$13,Lists!$E$2:$E$13,"Not Found")</f>
        <v>22000</v>
      </c>
      <c r="J299" s="47">
        <v>0.2</v>
      </c>
      <c r="K299" s="35">
        <f t="shared" si="9"/>
        <v>17600</v>
      </c>
      <c r="L299" s="37" t="s">
        <v>44</v>
      </c>
      <c r="M299" s="37" t="s">
        <v>27</v>
      </c>
      <c r="N299" s="4" t="str">
        <f>IF(I299=_xlfn.XLOOKUP(F299,Lists!$D$2:$D$13,Lists!$E$2:$E$13,"Not Found"),"OK","Check Price")</f>
        <v>OK</v>
      </c>
    </row>
    <row r="300" spans="1:14" ht="15.5" hidden="1" thickTop="1" thickBot="1" x14ac:dyDescent="0.4">
      <c r="A300" s="36" t="str">
        <f t="shared" si="8"/>
        <v>ORD0299</v>
      </c>
      <c r="B300" s="34">
        <v>45979</v>
      </c>
      <c r="C300" s="38" t="s">
        <v>78</v>
      </c>
      <c r="D300" s="38" t="s">
        <v>39</v>
      </c>
      <c r="E300" s="38" t="s">
        <v>119</v>
      </c>
      <c r="F300" s="38" t="s">
        <v>57</v>
      </c>
      <c r="G300" s="38" t="s">
        <v>24</v>
      </c>
      <c r="H300" s="38">
        <v>8</v>
      </c>
      <c r="I300" s="38">
        <v>5000</v>
      </c>
      <c r="J300" s="38">
        <v>0.2</v>
      </c>
      <c r="K300" s="38">
        <f t="shared" si="9"/>
        <v>32000</v>
      </c>
      <c r="L300" s="38" t="s">
        <v>56</v>
      </c>
      <c r="M300" s="38" t="s">
        <v>22</v>
      </c>
      <c r="N300" s="4" t="str">
        <f>IF(I300=_xlfn.XLOOKUP(F300,Lists!$D$2:$D$13,Lists!$E$2:$E$13,"Not Found"),"OK","Check Price")</f>
        <v>Check Price</v>
      </c>
    </row>
    <row r="301" spans="1:14" ht="15.5" hidden="1" thickTop="1" thickBot="1" x14ac:dyDescent="0.4">
      <c r="A301" s="36" t="str">
        <f t="shared" si="8"/>
        <v>ORD0300</v>
      </c>
      <c r="B301" s="34">
        <v>45352</v>
      </c>
      <c r="C301" s="37" t="s">
        <v>72</v>
      </c>
      <c r="D301" s="37" t="s">
        <v>28</v>
      </c>
      <c r="E301" s="37" t="s">
        <v>29</v>
      </c>
      <c r="F301" s="37" t="s">
        <v>52</v>
      </c>
      <c r="G301" s="37" t="s">
        <v>19</v>
      </c>
      <c r="H301" s="37">
        <v>5</v>
      </c>
      <c r="I301" s="37">
        <v>1200</v>
      </c>
      <c r="J301" s="37">
        <v>0.2</v>
      </c>
      <c r="K301" s="37">
        <f t="shared" si="9"/>
        <v>4800</v>
      </c>
      <c r="L301" s="37" t="s">
        <v>37</v>
      </c>
      <c r="M301" s="37" t="s">
        <v>27</v>
      </c>
      <c r="N301" s="4" t="str">
        <f>IF(I301=_xlfn.XLOOKUP(F301,Lists!$D$2:$D$13,Lists!$E$2:$E$13,"Not Found"),"OK","Check Price")</f>
        <v>OK</v>
      </c>
    </row>
    <row r="302" spans="1:14" ht="15.5" thickTop="1" thickBot="1" x14ac:dyDescent="0.4">
      <c r="A302" s="36" t="str">
        <f t="shared" si="8"/>
        <v>ORD0301</v>
      </c>
      <c r="B302" s="34">
        <v>45667</v>
      </c>
      <c r="C302" s="38" t="s">
        <v>62</v>
      </c>
      <c r="D302" s="38" t="s">
        <v>23</v>
      </c>
      <c r="E302" s="38" t="s">
        <v>119</v>
      </c>
      <c r="F302" s="38" t="s">
        <v>46</v>
      </c>
      <c r="G302" s="35" t="str">
        <f>_xlfn.XLOOKUP(F302,Lists!$J$2:$J$13,Lists!$K$2:$K$13,"Not Found")</f>
        <v>Furniture</v>
      </c>
      <c r="H302" s="38">
        <v>6</v>
      </c>
      <c r="I302" s="35">
        <f>_xlfn.XLOOKUP(F302,Lists!$D$2:$D$13,Lists!$E$2:$E$13,"Not Found")</f>
        <v>22000</v>
      </c>
      <c r="J302" s="48">
        <v>0.1</v>
      </c>
      <c r="K302" s="35">
        <f t="shared" si="9"/>
        <v>118800</v>
      </c>
      <c r="L302" s="38" t="s">
        <v>37</v>
      </c>
      <c r="M302" s="38" t="s">
        <v>33</v>
      </c>
      <c r="N302" s="4" t="str">
        <f>IF(I302=_xlfn.XLOOKUP(F302,Lists!$D$2:$D$13,Lists!$E$2:$E$13,"Not Found"),"OK","Check Price")</f>
        <v>OK</v>
      </c>
    </row>
    <row r="303" spans="1:14" ht="15.5" thickTop="1" thickBot="1" x14ac:dyDescent="0.4">
      <c r="A303" s="36" t="str">
        <f t="shared" si="8"/>
        <v>ORD0302</v>
      </c>
      <c r="B303" s="34">
        <v>45694</v>
      </c>
      <c r="C303" s="37" t="s">
        <v>65</v>
      </c>
      <c r="D303" s="37" t="s">
        <v>42</v>
      </c>
      <c r="E303" s="37" t="s">
        <v>35</v>
      </c>
      <c r="F303" s="37" t="s">
        <v>55</v>
      </c>
      <c r="G303" s="35" t="str">
        <f>_xlfn.XLOOKUP(F303,Lists!$J$2:$J$13,Lists!$K$2:$K$13,"Not Found")</f>
        <v>Office Supplies</v>
      </c>
      <c r="H303" s="37">
        <v>1</v>
      </c>
      <c r="I303" s="35">
        <f>_xlfn.XLOOKUP(F303,Lists!$D$2:$D$13,Lists!$E$2:$E$13,"Not Found")</f>
        <v>1500</v>
      </c>
      <c r="J303" s="47">
        <v>0.1</v>
      </c>
      <c r="K303" s="35">
        <f t="shared" si="9"/>
        <v>1350</v>
      </c>
      <c r="L303" s="37" t="s">
        <v>47</v>
      </c>
      <c r="M303" s="37" t="s">
        <v>22</v>
      </c>
      <c r="N303" s="4" t="str">
        <f>IF(I303=_xlfn.XLOOKUP(F303,Lists!$D$2:$D$13,Lists!$E$2:$E$13,"Not Found"),"OK","Check Price")</f>
        <v>OK</v>
      </c>
    </row>
    <row r="304" spans="1:14" ht="15.5" hidden="1" thickTop="1" thickBot="1" x14ac:dyDescent="0.4">
      <c r="A304" s="36" t="str">
        <f t="shared" si="8"/>
        <v>ORD0303</v>
      </c>
      <c r="B304" s="34">
        <v>45774</v>
      </c>
      <c r="C304" s="38" t="s">
        <v>76</v>
      </c>
      <c r="D304" s="38" t="s">
        <v>28</v>
      </c>
      <c r="E304" s="38" t="s">
        <v>29</v>
      </c>
      <c r="F304" s="38" t="s">
        <v>52</v>
      </c>
      <c r="G304" s="38" t="s">
        <v>19</v>
      </c>
      <c r="H304" s="38">
        <v>9</v>
      </c>
      <c r="I304" s="38">
        <v>22000</v>
      </c>
      <c r="J304" s="38">
        <v>0.15</v>
      </c>
      <c r="K304" s="38">
        <f t="shared" si="9"/>
        <v>168300</v>
      </c>
      <c r="L304" s="38" t="s">
        <v>37</v>
      </c>
      <c r="M304" s="38" t="s">
        <v>33</v>
      </c>
      <c r="N304" s="4" t="str">
        <f>IF(I304=_xlfn.XLOOKUP(F304,Lists!$D$2:$D$13,Lists!$E$2:$E$13,"Not Found"),"OK","Check Price")</f>
        <v>Check Price</v>
      </c>
    </row>
    <row r="305" spans="1:14" ht="15.5" hidden="1" thickTop="1" thickBot="1" x14ac:dyDescent="0.4">
      <c r="A305" s="36" t="str">
        <f t="shared" si="8"/>
        <v>ORD0304</v>
      </c>
      <c r="B305" s="34">
        <v>46012</v>
      </c>
      <c r="C305" s="37" t="s">
        <v>76</v>
      </c>
      <c r="D305" s="37" t="s">
        <v>42</v>
      </c>
      <c r="E305" s="37" t="s">
        <v>35</v>
      </c>
      <c r="F305" s="37" t="s">
        <v>31</v>
      </c>
      <c r="G305" s="37" t="s">
        <v>19</v>
      </c>
      <c r="H305" s="37">
        <v>7</v>
      </c>
      <c r="I305" s="37">
        <v>5000</v>
      </c>
      <c r="J305" s="37">
        <v>0.05</v>
      </c>
      <c r="K305" s="37">
        <f t="shared" si="9"/>
        <v>33250</v>
      </c>
      <c r="L305" s="37" t="s">
        <v>44</v>
      </c>
      <c r="M305" s="37" t="s">
        <v>27</v>
      </c>
      <c r="N305" s="4" t="str">
        <f>IF(I305=_xlfn.XLOOKUP(F305,Lists!$D$2:$D$13,Lists!$E$2:$E$13,"Not Found"),"OK","Check Price")</f>
        <v>Check Price</v>
      </c>
    </row>
    <row r="306" spans="1:14" ht="15.5" thickTop="1" thickBot="1" x14ac:dyDescent="0.4">
      <c r="A306" s="36" t="str">
        <f t="shared" si="8"/>
        <v>ORD0305</v>
      </c>
      <c r="B306" s="34">
        <v>45693</v>
      </c>
      <c r="C306" s="38" t="s">
        <v>74</v>
      </c>
      <c r="D306" s="38" t="s">
        <v>51</v>
      </c>
      <c r="E306" s="38" t="s">
        <v>79</v>
      </c>
      <c r="F306" s="38" t="s">
        <v>55</v>
      </c>
      <c r="G306" s="35" t="str">
        <f>_xlfn.XLOOKUP(F306,Lists!$J$2:$J$13,Lists!$K$2:$K$13,"Not Found")</f>
        <v>Office Supplies</v>
      </c>
      <c r="H306" s="38">
        <v>2</v>
      </c>
      <c r="I306" s="35">
        <f>_xlfn.XLOOKUP(F306,Lists!$D$2:$D$13,Lists!$E$2:$E$13,"Not Found")</f>
        <v>1500</v>
      </c>
      <c r="J306" s="48">
        <v>0.15</v>
      </c>
      <c r="K306" s="35">
        <f t="shared" si="9"/>
        <v>2550</v>
      </c>
      <c r="L306" s="38" t="s">
        <v>32</v>
      </c>
      <c r="M306" s="38" t="s">
        <v>27</v>
      </c>
      <c r="N306" s="4" t="str">
        <f>IF(I306=_xlfn.XLOOKUP(F306,Lists!$D$2:$D$13,Lists!$E$2:$E$13,"Not Found"),"OK","Check Price")</f>
        <v>OK</v>
      </c>
    </row>
    <row r="307" spans="1:14" ht="15.5" thickTop="1" thickBot="1" x14ac:dyDescent="0.4">
      <c r="A307" s="36" t="str">
        <f t="shared" si="8"/>
        <v>ORD0306</v>
      </c>
      <c r="B307" s="34">
        <v>45391</v>
      </c>
      <c r="C307" s="37" t="s">
        <v>59</v>
      </c>
      <c r="D307" s="37" t="s">
        <v>17</v>
      </c>
      <c r="E307" s="37" t="s">
        <v>79</v>
      </c>
      <c r="F307" s="37" t="s">
        <v>46</v>
      </c>
      <c r="G307" s="35" t="str">
        <f>_xlfn.XLOOKUP(F307,Lists!$J$2:$J$13,Lists!$K$2:$K$13,"Not Found")</f>
        <v>Furniture</v>
      </c>
      <c r="H307" s="37">
        <v>1</v>
      </c>
      <c r="I307" s="35">
        <f>_xlfn.XLOOKUP(F307,Lists!$D$2:$D$13,Lists!$E$2:$E$13,"Not Found")</f>
        <v>22000</v>
      </c>
      <c r="J307" s="47">
        <v>0.15</v>
      </c>
      <c r="K307" s="35">
        <f t="shared" si="9"/>
        <v>18700</v>
      </c>
      <c r="L307" s="37" t="s">
        <v>21</v>
      </c>
      <c r="M307" s="37" t="s">
        <v>22</v>
      </c>
      <c r="N307" s="4" t="str">
        <f>IF(I307=_xlfn.XLOOKUP(F307,Lists!$D$2:$D$13,Lists!$E$2:$E$13,"Not Found"),"OK","Check Price")</f>
        <v>OK</v>
      </c>
    </row>
    <row r="308" spans="1:14" ht="15.5" hidden="1" thickTop="1" thickBot="1" x14ac:dyDescent="0.4">
      <c r="A308" s="36" t="str">
        <f t="shared" si="8"/>
        <v>ORD0307</v>
      </c>
      <c r="B308" s="34">
        <v>45545</v>
      </c>
      <c r="C308" s="38" t="s">
        <v>75</v>
      </c>
      <c r="D308" s="38" t="s">
        <v>34</v>
      </c>
      <c r="E308" s="38" t="s">
        <v>35</v>
      </c>
      <c r="F308" s="38" t="s">
        <v>36</v>
      </c>
      <c r="G308" s="38" t="s">
        <v>30</v>
      </c>
      <c r="H308" s="38">
        <v>2</v>
      </c>
      <c r="I308" s="38">
        <v>2000</v>
      </c>
      <c r="J308" s="38">
        <v>0.15</v>
      </c>
      <c r="K308" s="38">
        <f t="shared" si="9"/>
        <v>3400</v>
      </c>
      <c r="L308" s="38" t="s">
        <v>37</v>
      </c>
      <c r="M308" s="38" t="s">
        <v>22</v>
      </c>
      <c r="N308" s="4" t="str">
        <f>IF(I308=_xlfn.XLOOKUP(F308,Lists!$D$2:$D$13,Lists!$E$2:$E$13,"Not Found"),"OK","Check Price")</f>
        <v>Check Price</v>
      </c>
    </row>
    <row r="309" spans="1:14" ht="15.5" hidden="1" thickTop="1" thickBot="1" x14ac:dyDescent="0.4">
      <c r="A309" s="36" t="str">
        <f t="shared" si="8"/>
        <v>ORD0308</v>
      </c>
      <c r="B309" s="34">
        <v>45486</v>
      </c>
      <c r="C309" s="37" t="s">
        <v>74</v>
      </c>
      <c r="D309" s="37" t="s">
        <v>34</v>
      </c>
      <c r="E309" s="37" t="s">
        <v>79</v>
      </c>
      <c r="F309" s="37" t="s">
        <v>36</v>
      </c>
      <c r="G309" s="37" t="s">
        <v>30</v>
      </c>
      <c r="H309" s="37">
        <v>5</v>
      </c>
      <c r="I309" s="37">
        <v>22000</v>
      </c>
      <c r="J309" s="37">
        <v>0.1</v>
      </c>
      <c r="K309" s="37">
        <f t="shared" si="9"/>
        <v>99000</v>
      </c>
      <c r="L309" s="37" t="s">
        <v>44</v>
      </c>
      <c r="M309" s="37" t="s">
        <v>38</v>
      </c>
      <c r="N309" s="4" t="str">
        <f>IF(I309=_xlfn.XLOOKUP(F309,Lists!$D$2:$D$13,Lists!$E$2:$E$13,"Not Found"),"OK","Check Price")</f>
        <v>Check Price</v>
      </c>
    </row>
    <row r="310" spans="1:14" ht="15.5" thickTop="1" thickBot="1" x14ac:dyDescent="0.4">
      <c r="A310" s="36" t="str">
        <f t="shared" si="8"/>
        <v>ORD0309</v>
      </c>
      <c r="B310" s="34">
        <v>45537</v>
      </c>
      <c r="C310" s="38" t="s">
        <v>64</v>
      </c>
      <c r="D310" s="38" t="s">
        <v>23</v>
      </c>
      <c r="E310" s="38" t="s">
        <v>29</v>
      </c>
      <c r="F310" s="38" t="s">
        <v>46</v>
      </c>
      <c r="G310" s="35" t="str">
        <f>_xlfn.XLOOKUP(F310,Lists!$J$2:$J$13,Lists!$K$2:$K$13,"Not Found")</f>
        <v>Furniture</v>
      </c>
      <c r="H310" s="38">
        <v>1</v>
      </c>
      <c r="I310" s="35">
        <f>_xlfn.XLOOKUP(F310,Lists!$D$2:$D$13,Lists!$E$2:$E$13,"Not Found")</f>
        <v>22000</v>
      </c>
      <c r="J310" s="48">
        <v>0.1</v>
      </c>
      <c r="K310" s="35">
        <f t="shared" si="9"/>
        <v>19800</v>
      </c>
      <c r="L310" s="38" t="s">
        <v>26</v>
      </c>
      <c r="M310" s="38" t="s">
        <v>27</v>
      </c>
      <c r="N310" s="4" t="str">
        <f>IF(I310=_xlfn.XLOOKUP(F310,Lists!$D$2:$D$13,Lists!$E$2:$E$13,"Not Found"),"OK","Check Price")</f>
        <v>OK</v>
      </c>
    </row>
    <row r="311" spans="1:14" ht="15.5" thickTop="1" thickBot="1" x14ac:dyDescent="0.4">
      <c r="A311" s="36" t="str">
        <f t="shared" si="8"/>
        <v>ORD0310</v>
      </c>
      <c r="B311" s="34">
        <v>45444</v>
      </c>
      <c r="C311" s="37" t="s">
        <v>70</v>
      </c>
      <c r="D311" s="37" t="s">
        <v>34</v>
      </c>
      <c r="E311" s="37" t="s">
        <v>119</v>
      </c>
      <c r="F311" s="37" t="s">
        <v>55</v>
      </c>
      <c r="G311" s="35" t="str">
        <f>_xlfn.XLOOKUP(F311,Lists!$J$2:$J$13,Lists!$K$2:$K$13,"Not Found")</f>
        <v>Office Supplies</v>
      </c>
      <c r="H311" s="37">
        <v>4</v>
      </c>
      <c r="I311" s="35">
        <f>_xlfn.XLOOKUP(F311,Lists!$D$2:$D$13,Lists!$E$2:$E$13,"Not Found")</f>
        <v>1500</v>
      </c>
      <c r="J311" s="47">
        <v>0.2</v>
      </c>
      <c r="K311" s="35">
        <f t="shared" si="9"/>
        <v>4800</v>
      </c>
      <c r="L311" s="37" t="s">
        <v>37</v>
      </c>
      <c r="M311" s="37" t="s">
        <v>22</v>
      </c>
      <c r="N311" s="4" t="str">
        <f>IF(I311=_xlfn.XLOOKUP(F311,Lists!$D$2:$D$13,Lists!$E$2:$E$13,"Not Found"),"OK","Check Price")</f>
        <v>OK</v>
      </c>
    </row>
    <row r="312" spans="1:14" ht="15.5" thickTop="1" thickBot="1" x14ac:dyDescent="0.4">
      <c r="A312" s="36" t="str">
        <f t="shared" si="8"/>
        <v>ORD0311</v>
      </c>
      <c r="B312" s="34">
        <v>45342</v>
      </c>
      <c r="C312" s="38" t="s">
        <v>65</v>
      </c>
      <c r="D312" s="38" t="s">
        <v>54</v>
      </c>
      <c r="E312" s="38" t="s">
        <v>79</v>
      </c>
      <c r="F312" s="38" t="s">
        <v>20</v>
      </c>
      <c r="G312" s="35" t="str">
        <f>_xlfn.XLOOKUP(F312,Lists!$J$2:$J$13,Lists!$K$2:$K$13,"Not Found")</f>
        <v>Electronics</v>
      </c>
      <c r="H312" s="38">
        <v>2</v>
      </c>
      <c r="I312" s="35">
        <f>_xlfn.XLOOKUP(F312,Lists!$D$2:$D$13,Lists!$E$2:$E$13,"Not Found")</f>
        <v>85000</v>
      </c>
      <c r="J312" s="48">
        <v>0.05</v>
      </c>
      <c r="K312" s="35">
        <f t="shared" si="9"/>
        <v>161500</v>
      </c>
      <c r="L312" s="38" t="s">
        <v>37</v>
      </c>
      <c r="M312" s="38" t="s">
        <v>22</v>
      </c>
      <c r="N312" s="4" t="str">
        <f>IF(I312=_xlfn.XLOOKUP(F312,Lists!$D$2:$D$13,Lists!$E$2:$E$13,"Not Found"),"OK","Check Price")</f>
        <v>OK</v>
      </c>
    </row>
    <row r="313" spans="1:14" ht="15.5" thickTop="1" thickBot="1" x14ac:dyDescent="0.4">
      <c r="A313" s="36" t="str">
        <f t="shared" si="8"/>
        <v>ORD0312</v>
      </c>
      <c r="B313" s="34">
        <v>45997</v>
      </c>
      <c r="C313" s="37" t="s">
        <v>66</v>
      </c>
      <c r="D313" s="37" t="s">
        <v>17</v>
      </c>
      <c r="E313" s="37" t="s">
        <v>18</v>
      </c>
      <c r="F313" s="37" t="s">
        <v>55</v>
      </c>
      <c r="G313" s="35" t="str">
        <f>_xlfn.XLOOKUP(F313,Lists!$J$2:$J$13,Lists!$K$2:$K$13,"Not Found")</f>
        <v>Office Supplies</v>
      </c>
      <c r="H313" s="37">
        <v>3</v>
      </c>
      <c r="I313" s="35">
        <f>_xlfn.XLOOKUP(F313,Lists!$D$2:$D$13,Lists!$E$2:$E$13,"Not Found")</f>
        <v>1500</v>
      </c>
      <c r="J313" s="47">
        <v>0.05</v>
      </c>
      <c r="K313" s="35">
        <f t="shared" si="9"/>
        <v>4275</v>
      </c>
      <c r="L313" s="37" t="s">
        <v>50</v>
      </c>
      <c r="M313" s="37" t="s">
        <v>22</v>
      </c>
      <c r="N313" s="4" t="str">
        <f>IF(I313=_xlfn.XLOOKUP(F313,Lists!$D$2:$D$13,Lists!$E$2:$E$13,"Not Found"),"OK","Check Price")</f>
        <v>OK</v>
      </c>
    </row>
    <row r="314" spans="1:14" ht="15.5" hidden="1" thickTop="1" thickBot="1" x14ac:dyDescent="0.4">
      <c r="A314" s="36" t="str">
        <f t="shared" si="8"/>
        <v>ORD0313</v>
      </c>
      <c r="B314" s="34">
        <v>45479</v>
      </c>
      <c r="C314" s="38" t="s">
        <v>76</v>
      </c>
      <c r="D314" s="38" t="s">
        <v>42</v>
      </c>
      <c r="E314" s="38" t="s">
        <v>29</v>
      </c>
      <c r="F314" s="38" t="s">
        <v>49</v>
      </c>
      <c r="G314" s="38" t="s">
        <v>30</v>
      </c>
      <c r="H314" s="38">
        <v>6</v>
      </c>
      <c r="I314" s="38">
        <v>28000</v>
      </c>
      <c r="J314" s="38">
        <v>0.15</v>
      </c>
      <c r="K314" s="38">
        <f t="shared" si="9"/>
        <v>142800</v>
      </c>
      <c r="L314" s="38" t="s">
        <v>56</v>
      </c>
      <c r="M314" s="38" t="s">
        <v>27</v>
      </c>
      <c r="N314" s="4" t="str">
        <f>IF(I314=_xlfn.XLOOKUP(F314,Lists!$D$2:$D$13,Lists!$E$2:$E$13,"Not Found"),"OK","Check Price")</f>
        <v>Check Price</v>
      </c>
    </row>
    <row r="315" spans="1:14" ht="15.5" hidden="1" thickTop="1" thickBot="1" x14ac:dyDescent="0.4">
      <c r="A315" s="36" t="str">
        <f t="shared" si="8"/>
        <v>ORD0314</v>
      </c>
      <c r="B315" s="34">
        <v>45710</v>
      </c>
      <c r="C315" s="37" t="s">
        <v>77</v>
      </c>
      <c r="D315" s="37" t="s">
        <v>42</v>
      </c>
      <c r="E315" s="37" t="s">
        <v>29</v>
      </c>
      <c r="F315" s="37" t="s">
        <v>40</v>
      </c>
      <c r="G315" s="37" t="s">
        <v>24</v>
      </c>
      <c r="H315" s="37">
        <v>3</v>
      </c>
      <c r="I315" s="37">
        <v>12000</v>
      </c>
      <c r="J315" s="37">
        <v>0.15</v>
      </c>
      <c r="K315" s="37">
        <f t="shared" si="9"/>
        <v>30600</v>
      </c>
      <c r="L315" s="37" t="s">
        <v>50</v>
      </c>
      <c r="M315" s="37" t="s">
        <v>22</v>
      </c>
      <c r="N315" s="4" t="str">
        <f>IF(I315=_xlfn.XLOOKUP(F315,Lists!$D$2:$D$13,Lists!$E$2:$E$13,"Not Found"),"OK","Check Price")</f>
        <v>Check Price</v>
      </c>
    </row>
    <row r="316" spans="1:14" ht="15.5" hidden="1" thickTop="1" thickBot="1" x14ac:dyDescent="0.4">
      <c r="A316" s="36" t="str">
        <f t="shared" si="8"/>
        <v>ORD0315</v>
      </c>
      <c r="B316" s="34">
        <v>45639</v>
      </c>
      <c r="C316" s="38" t="s">
        <v>74</v>
      </c>
      <c r="D316" s="38" t="s">
        <v>34</v>
      </c>
      <c r="E316" s="38" t="s">
        <v>119</v>
      </c>
      <c r="F316" s="38" t="s">
        <v>40</v>
      </c>
      <c r="G316" s="38" t="s">
        <v>30</v>
      </c>
      <c r="H316" s="38">
        <v>7</v>
      </c>
      <c r="I316" s="38">
        <v>12000</v>
      </c>
      <c r="J316" s="38">
        <v>0.2</v>
      </c>
      <c r="K316" s="38">
        <f t="shared" si="9"/>
        <v>67200</v>
      </c>
      <c r="L316" s="38" t="s">
        <v>47</v>
      </c>
      <c r="M316" s="38" t="s">
        <v>22</v>
      </c>
      <c r="N316" s="4" t="str">
        <f>IF(I316=_xlfn.XLOOKUP(F316,Lists!$D$2:$D$13,Lists!$E$2:$E$13,"Not Found"),"OK","Check Price")</f>
        <v>Check Price</v>
      </c>
    </row>
    <row r="317" spans="1:14" ht="15.5" thickTop="1" thickBot="1" x14ac:dyDescent="0.4">
      <c r="A317" s="36" t="str">
        <f t="shared" si="8"/>
        <v>ORD0316</v>
      </c>
      <c r="B317" s="34">
        <v>45434</v>
      </c>
      <c r="C317" s="37" t="s">
        <v>60</v>
      </c>
      <c r="D317" s="37" t="s">
        <v>17</v>
      </c>
      <c r="E317" s="37" t="s">
        <v>119</v>
      </c>
      <c r="F317" s="37" t="s">
        <v>20</v>
      </c>
      <c r="G317" s="35" t="str">
        <f>_xlfn.XLOOKUP(F317,Lists!$J$2:$J$13,Lists!$K$2:$K$13,"Not Found")</f>
        <v>Electronics</v>
      </c>
      <c r="H317" s="37">
        <v>3</v>
      </c>
      <c r="I317" s="35">
        <f>_xlfn.XLOOKUP(F317,Lists!$D$2:$D$13,Lists!$E$2:$E$13,"Not Found")</f>
        <v>85000</v>
      </c>
      <c r="J317" s="47">
        <v>0.25</v>
      </c>
      <c r="K317" s="35">
        <f t="shared" si="9"/>
        <v>191250</v>
      </c>
      <c r="L317" s="37" t="s">
        <v>47</v>
      </c>
      <c r="M317" s="37" t="s">
        <v>33</v>
      </c>
      <c r="N317" s="4" t="str">
        <f>IF(I317=_xlfn.XLOOKUP(F317,Lists!$D$2:$D$13,Lists!$E$2:$E$13,"Not Found"),"OK","Check Price")</f>
        <v>OK</v>
      </c>
    </row>
    <row r="318" spans="1:14" ht="15.5" thickTop="1" thickBot="1" x14ac:dyDescent="0.4">
      <c r="A318" s="36" t="str">
        <f t="shared" si="8"/>
        <v>ORD0317</v>
      </c>
      <c r="B318" s="34">
        <v>45800</v>
      </c>
      <c r="C318" s="38" t="s">
        <v>60</v>
      </c>
      <c r="D318" s="38" t="s">
        <v>34</v>
      </c>
      <c r="E318" s="38" t="s">
        <v>35</v>
      </c>
      <c r="F318" s="38" t="s">
        <v>20</v>
      </c>
      <c r="G318" s="35" t="str">
        <f>_xlfn.XLOOKUP(F318,Lists!$J$2:$J$13,Lists!$K$2:$K$13,"Not Found")</f>
        <v>Electronics</v>
      </c>
      <c r="H318" s="38">
        <v>10</v>
      </c>
      <c r="I318" s="35">
        <f>_xlfn.XLOOKUP(F318,Lists!$D$2:$D$13,Lists!$E$2:$E$13,"Not Found")</f>
        <v>85000</v>
      </c>
      <c r="J318" s="48">
        <v>0.05</v>
      </c>
      <c r="K318" s="35">
        <f t="shared" si="9"/>
        <v>807500</v>
      </c>
      <c r="L318" s="38" t="s">
        <v>32</v>
      </c>
      <c r="M318" s="38" t="s">
        <v>22</v>
      </c>
      <c r="N318" s="4" t="str">
        <f>IF(I318=_xlfn.XLOOKUP(F318,Lists!$D$2:$D$13,Lists!$E$2:$E$13,"Not Found"),"OK","Check Price")</f>
        <v>OK</v>
      </c>
    </row>
    <row r="319" spans="1:14" ht="15.5" hidden="1" thickTop="1" thickBot="1" x14ac:dyDescent="0.4">
      <c r="A319" s="36" t="str">
        <f t="shared" si="8"/>
        <v>ORD0318</v>
      </c>
      <c r="B319" s="34">
        <v>46022</v>
      </c>
      <c r="C319" s="37" t="s">
        <v>76</v>
      </c>
      <c r="D319" s="37" t="s">
        <v>54</v>
      </c>
      <c r="E319" s="37" t="s">
        <v>35</v>
      </c>
      <c r="F319" s="37" t="s">
        <v>43</v>
      </c>
      <c r="G319" s="37" t="s">
        <v>19</v>
      </c>
      <c r="H319" s="37">
        <v>1</v>
      </c>
      <c r="I319" s="37">
        <v>28000</v>
      </c>
      <c r="J319" s="37">
        <v>0.2</v>
      </c>
      <c r="K319" s="37">
        <f t="shared" si="9"/>
        <v>22400</v>
      </c>
      <c r="L319" s="37" t="s">
        <v>53</v>
      </c>
      <c r="M319" s="37" t="s">
        <v>33</v>
      </c>
      <c r="N319" s="4" t="str">
        <f>IF(I319=_xlfn.XLOOKUP(F319,Lists!$D$2:$D$13,Lists!$E$2:$E$13,"Not Found"),"OK","Check Price")</f>
        <v>Check Price</v>
      </c>
    </row>
    <row r="320" spans="1:14" ht="15.5" hidden="1" thickTop="1" thickBot="1" x14ac:dyDescent="0.4">
      <c r="A320" s="36" t="str">
        <f t="shared" si="8"/>
        <v>ORD0319</v>
      </c>
      <c r="B320" s="34">
        <v>45741</v>
      </c>
      <c r="C320" s="38" t="s">
        <v>59</v>
      </c>
      <c r="D320" s="38" t="s">
        <v>45</v>
      </c>
      <c r="E320" s="38" t="s">
        <v>35</v>
      </c>
      <c r="F320" s="38" t="s">
        <v>40</v>
      </c>
      <c r="G320" s="38" t="s">
        <v>19</v>
      </c>
      <c r="H320" s="38">
        <v>5</v>
      </c>
      <c r="I320" s="38">
        <v>30000</v>
      </c>
      <c r="J320" s="38">
        <v>0.25</v>
      </c>
      <c r="K320" s="38">
        <f t="shared" si="9"/>
        <v>112500</v>
      </c>
      <c r="L320" s="38" t="s">
        <v>21</v>
      </c>
      <c r="M320" s="38" t="s">
        <v>33</v>
      </c>
      <c r="N320" s="4" t="str">
        <f>IF(I320=_xlfn.XLOOKUP(F320,Lists!$D$2:$D$13,Lists!$E$2:$E$13,"Not Found"),"OK","Check Price")</f>
        <v>Check Price</v>
      </c>
    </row>
    <row r="321" spans="1:14" ht="15.5" hidden="1" thickTop="1" thickBot="1" x14ac:dyDescent="0.4">
      <c r="A321" s="36" t="str">
        <f t="shared" si="8"/>
        <v>ORD0320</v>
      </c>
      <c r="B321" s="34">
        <v>45474</v>
      </c>
      <c r="C321" s="37" t="s">
        <v>61</v>
      </c>
      <c r="D321" s="37" t="s">
        <v>45</v>
      </c>
      <c r="E321" s="37" t="s">
        <v>79</v>
      </c>
      <c r="F321" s="37" t="s">
        <v>40</v>
      </c>
      <c r="G321" s="37" t="s">
        <v>19</v>
      </c>
      <c r="H321" s="37">
        <v>4</v>
      </c>
      <c r="I321" s="37">
        <v>28000</v>
      </c>
      <c r="J321" s="37">
        <v>0.1</v>
      </c>
      <c r="K321" s="37">
        <f t="shared" si="9"/>
        <v>100800</v>
      </c>
      <c r="L321" s="37" t="s">
        <v>37</v>
      </c>
      <c r="M321" s="37" t="s">
        <v>33</v>
      </c>
      <c r="N321" s="4" t="str">
        <f>IF(I321=_xlfn.XLOOKUP(F321,Lists!$D$2:$D$13,Lists!$E$2:$E$13,"Not Found"),"OK","Check Price")</f>
        <v>OK</v>
      </c>
    </row>
    <row r="322" spans="1:14" ht="15.5" thickTop="1" thickBot="1" x14ac:dyDescent="0.4">
      <c r="A322" s="36" t="str">
        <f t="shared" si="8"/>
        <v>ORD0321</v>
      </c>
      <c r="B322" s="34">
        <v>45592</v>
      </c>
      <c r="C322" s="38" t="s">
        <v>63</v>
      </c>
      <c r="D322" s="38" t="s">
        <v>23</v>
      </c>
      <c r="E322" s="38" t="s">
        <v>18</v>
      </c>
      <c r="F322" s="38" t="s">
        <v>20</v>
      </c>
      <c r="G322" s="35" t="str">
        <f>_xlfn.XLOOKUP(F322,Lists!$J$2:$J$13,Lists!$K$2:$K$13,"Not Found")</f>
        <v>Electronics</v>
      </c>
      <c r="H322" s="38">
        <v>8</v>
      </c>
      <c r="I322" s="35">
        <f>_xlfn.XLOOKUP(F322,Lists!$D$2:$D$13,Lists!$E$2:$E$13,"Not Found")</f>
        <v>85000</v>
      </c>
      <c r="J322" s="48">
        <v>0.05</v>
      </c>
      <c r="K322" s="35">
        <f>H322*I322*(1-J322)</f>
        <v>646000</v>
      </c>
      <c r="L322" s="38" t="s">
        <v>32</v>
      </c>
      <c r="M322" s="38" t="s">
        <v>22</v>
      </c>
      <c r="N322" s="4" t="str">
        <f>IF(I322=_xlfn.XLOOKUP(F322,Lists!$D$2:$D$13,Lists!$E$2:$E$13,"Not Found"),"OK","Check Price")</f>
        <v>OK</v>
      </c>
    </row>
    <row r="323" spans="1:14" ht="15.5" hidden="1" thickTop="1" thickBot="1" x14ac:dyDescent="0.4">
      <c r="A323" s="36" t="str">
        <f t="shared" ref="A323:A386" si="10">"ORD"&amp;TEXT(ROW()-1,"0000")</f>
        <v>ORD0322</v>
      </c>
      <c r="B323" s="34">
        <v>45442</v>
      </c>
      <c r="C323" s="37" t="s">
        <v>63</v>
      </c>
      <c r="D323" s="37" t="s">
        <v>51</v>
      </c>
      <c r="E323" s="37" t="s">
        <v>29</v>
      </c>
      <c r="F323" s="37" t="s">
        <v>40</v>
      </c>
      <c r="G323" s="37" t="s">
        <v>24</v>
      </c>
      <c r="H323" s="37">
        <v>9</v>
      </c>
      <c r="I323" s="37">
        <v>1500</v>
      </c>
      <c r="J323" s="37">
        <v>0.05</v>
      </c>
      <c r="K323" s="37">
        <f t="shared" ref="K323:K386" si="11">H323*I323*(1-J323)</f>
        <v>12825</v>
      </c>
      <c r="L323" s="37" t="s">
        <v>32</v>
      </c>
      <c r="M323" s="37" t="s">
        <v>38</v>
      </c>
      <c r="N323" s="4" t="str">
        <f>IF(I323=_xlfn.XLOOKUP(F323,Lists!$D$2:$D$13,Lists!$E$2:$E$13,"Not Found"),"OK","Check Price")</f>
        <v>Check Price</v>
      </c>
    </row>
    <row r="324" spans="1:14" ht="15.5" thickTop="1" thickBot="1" x14ac:dyDescent="0.4">
      <c r="A324" s="36" t="str">
        <f t="shared" si="10"/>
        <v>ORD0323</v>
      </c>
      <c r="B324" s="34">
        <v>45330</v>
      </c>
      <c r="C324" s="38" t="s">
        <v>61</v>
      </c>
      <c r="D324" s="38" t="s">
        <v>28</v>
      </c>
      <c r="E324" s="38" t="s">
        <v>80</v>
      </c>
      <c r="F324" s="38" t="s">
        <v>46</v>
      </c>
      <c r="G324" s="35" t="str">
        <f>_xlfn.XLOOKUP(F324,Lists!$J$2:$J$13,Lists!$K$2:$K$13,"Not Found")</f>
        <v>Furniture</v>
      </c>
      <c r="H324" s="38">
        <v>3</v>
      </c>
      <c r="I324" s="35">
        <f>_xlfn.XLOOKUP(F324,Lists!$D$2:$D$13,Lists!$E$2:$E$13,"Not Found")</f>
        <v>22000</v>
      </c>
      <c r="J324" s="48">
        <v>0.25</v>
      </c>
      <c r="K324" s="35">
        <f>H324*I324*(1-J324)</f>
        <v>49500</v>
      </c>
      <c r="L324" s="38" t="s">
        <v>44</v>
      </c>
      <c r="M324" s="38" t="s">
        <v>38</v>
      </c>
      <c r="N324" s="4" t="str">
        <f>IF(I324=_xlfn.XLOOKUP(F324,Lists!$D$2:$D$13,Lists!$E$2:$E$13,"Not Found"),"OK","Check Price")</f>
        <v>OK</v>
      </c>
    </row>
    <row r="325" spans="1:14" ht="15.5" hidden="1" thickTop="1" thickBot="1" x14ac:dyDescent="0.4">
      <c r="A325" s="36" t="str">
        <f t="shared" si="10"/>
        <v>ORD0324</v>
      </c>
      <c r="B325" s="34">
        <v>45708</v>
      </c>
      <c r="C325" s="37" t="s">
        <v>78</v>
      </c>
      <c r="D325" s="37" t="s">
        <v>34</v>
      </c>
      <c r="E325" s="37" t="s">
        <v>29</v>
      </c>
      <c r="F325" s="37" t="s">
        <v>49</v>
      </c>
      <c r="G325" s="37" t="s">
        <v>24</v>
      </c>
      <c r="H325" s="37">
        <v>6</v>
      </c>
      <c r="I325" s="37">
        <v>30000</v>
      </c>
      <c r="J325" s="37">
        <v>0.15</v>
      </c>
      <c r="K325" s="37">
        <f t="shared" si="11"/>
        <v>153000</v>
      </c>
      <c r="L325" s="37" t="s">
        <v>53</v>
      </c>
      <c r="M325" s="37" t="s">
        <v>22</v>
      </c>
      <c r="N325" s="4" t="str">
        <f>IF(I325=_xlfn.XLOOKUP(F325,Lists!$D$2:$D$13,Lists!$E$2:$E$13,"Not Found"),"OK","Check Price")</f>
        <v>Check Price</v>
      </c>
    </row>
    <row r="326" spans="1:14" ht="15.5" hidden="1" thickTop="1" thickBot="1" x14ac:dyDescent="0.4">
      <c r="A326" s="36" t="str">
        <f t="shared" si="10"/>
        <v>ORD0325</v>
      </c>
      <c r="B326" s="34">
        <v>45653</v>
      </c>
      <c r="C326" s="38" t="s">
        <v>73</v>
      </c>
      <c r="D326" s="38" t="s">
        <v>39</v>
      </c>
      <c r="E326" s="38" t="s">
        <v>29</v>
      </c>
      <c r="F326" s="38" t="s">
        <v>25</v>
      </c>
      <c r="G326" s="38" t="s">
        <v>30</v>
      </c>
      <c r="H326" s="38">
        <v>3</v>
      </c>
      <c r="I326" s="38">
        <v>85000</v>
      </c>
      <c r="J326" s="38">
        <v>0.1</v>
      </c>
      <c r="K326" s="38">
        <f t="shared" si="11"/>
        <v>229500</v>
      </c>
      <c r="L326" s="38" t="s">
        <v>53</v>
      </c>
      <c r="M326" s="38" t="s">
        <v>27</v>
      </c>
      <c r="N326" s="4" t="str">
        <f>IF(I326=_xlfn.XLOOKUP(F326,Lists!$D$2:$D$13,Lists!$E$2:$E$13,"Not Found"),"OK","Check Price")</f>
        <v>Check Price</v>
      </c>
    </row>
    <row r="327" spans="1:14" ht="15.5" hidden="1" thickTop="1" thickBot="1" x14ac:dyDescent="0.4">
      <c r="A327" s="36" t="str">
        <f t="shared" si="10"/>
        <v>ORD0326</v>
      </c>
      <c r="B327" s="34">
        <v>45505</v>
      </c>
      <c r="C327" s="37" t="s">
        <v>76</v>
      </c>
      <c r="D327" s="37" t="s">
        <v>42</v>
      </c>
      <c r="E327" s="37" t="s">
        <v>80</v>
      </c>
      <c r="F327" s="37" t="s">
        <v>25</v>
      </c>
      <c r="G327" s="37" t="s">
        <v>19</v>
      </c>
      <c r="H327" s="37">
        <v>1</v>
      </c>
      <c r="I327" s="37">
        <v>2500</v>
      </c>
      <c r="J327" s="37">
        <v>0.25</v>
      </c>
      <c r="K327" s="37">
        <f t="shared" si="11"/>
        <v>1875</v>
      </c>
      <c r="L327" s="37" t="s">
        <v>47</v>
      </c>
      <c r="M327" s="37" t="s">
        <v>38</v>
      </c>
      <c r="N327" s="4" t="str">
        <f>IF(I327=_xlfn.XLOOKUP(F327,Lists!$D$2:$D$13,Lists!$E$2:$E$13,"Not Found"),"OK","Check Price")</f>
        <v>Check Price</v>
      </c>
    </row>
    <row r="328" spans="1:14" ht="15.5" thickTop="1" thickBot="1" x14ac:dyDescent="0.4">
      <c r="A328" s="36" t="str">
        <f t="shared" si="10"/>
        <v>ORD0327</v>
      </c>
      <c r="B328" s="34">
        <v>45924</v>
      </c>
      <c r="C328" s="38" t="s">
        <v>62</v>
      </c>
      <c r="D328" s="38" t="s">
        <v>54</v>
      </c>
      <c r="E328" s="38" t="s">
        <v>18</v>
      </c>
      <c r="F328" s="38" t="s">
        <v>20</v>
      </c>
      <c r="G328" s="35" t="str">
        <f>_xlfn.XLOOKUP(F328,Lists!$J$2:$J$13,Lists!$K$2:$K$13,"Not Found")</f>
        <v>Electronics</v>
      </c>
      <c r="H328" s="38">
        <v>6</v>
      </c>
      <c r="I328" s="35">
        <f>_xlfn.XLOOKUP(F328,Lists!$D$2:$D$13,Lists!$E$2:$E$13,"Not Found")</f>
        <v>85000</v>
      </c>
      <c r="J328" s="48">
        <v>0.2</v>
      </c>
      <c r="K328" s="35">
        <f>H328*I328*(1-J328)</f>
        <v>408000</v>
      </c>
      <c r="L328" s="38" t="s">
        <v>26</v>
      </c>
      <c r="M328" s="38" t="s">
        <v>38</v>
      </c>
      <c r="N328" s="4" t="str">
        <f>IF(I328=_xlfn.XLOOKUP(F328,Lists!$D$2:$D$13,Lists!$E$2:$E$13,"Not Found"),"OK","Check Price")</f>
        <v>OK</v>
      </c>
    </row>
    <row r="329" spans="1:14" ht="15.5" hidden="1" thickTop="1" thickBot="1" x14ac:dyDescent="0.4">
      <c r="A329" s="36" t="str">
        <f t="shared" si="10"/>
        <v>ORD0328</v>
      </c>
      <c r="B329" s="34">
        <v>45883</v>
      </c>
      <c r="C329" s="37" t="s">
        <v>64</v>
      </c>
      <c r="D329" s="37" t="s">
        <v>34</v>
      </c>
      <c r="E329" s="37" t="s">
        <v>29</v>
      </c>
      <c r="F329" s="37" t="s">
        <v>31</v>
      </c>
      <c r="G329" s="37" t="s">
        <v>30</v>
      </c>
      <c r="H329" s="37">
        <v>2</v>
      </c>
      <c r="I329" s="37">
        <v>28000</v>
      </c>
      <c r="J329" s="37">
        <v>0.1</v>
      </c>
      <c r="K329" s="37">
        <f t="shared" si="11"/>
        <v>50400</v>
      </c>
      <c r="L329" s="37" t="s">
        <v>50</v>
      </c>
      <c r="M329" s="37" t="s">
        <v>33</v>
      </c>
      <c r="N329" s="4" t="str">
        <f>IF(I329=_xlfn.XLOOKUP(F329,Lists!$D$2:$D$13,Lists!$E$2:$E$13,"Not Found"),"OK","Check Price")</f>
        <v>Check Price</v>
      </c>
    </row>
    <row r="330" spans="1:14" ht="15.5" hidden="1" thickTop="1" thickBot="1" x14ac:dyDescent="0.4">
      <c r="A330" s="36" t="str">
        <f t="shared" si="10"/>
        <v>ORD0329</v>
      </c>
      <c r="B330" s="34">
        <v>45327</v>
      </c>
      <c r="C330" s="38" t="s">
        <v>69</v>
      </c>
      <c r="D330" s="38" t="s">
        <v>28</v>
      </c>
      <c r="E330" s="38" t="s">
        <v>29</v>
      </c>
      <c r="F330" s="38" t="s">
        <v>52</v>
      </c>
      <c r="G330" s="38" t="s">
        <v>24</v>
      </c>
      <c r="H330" s="38">
        <v>8</v>
      </c>
      <c r="I330" s="38">
        <v>12000</v>
      </c>
      <c r="J330" s="38">
        <v>0.1</v>
      </c>
      <c r="K330" s="38">
        <f t="shared" si="11"/>
        <v>86400</v>
      </c>
      <c r="L330" s="38" t="s">
        <v>41</v>
      </c>
      <c r="M330" s="38" t="s">
        <v>22</v>
      </c>
      <c r="N330" s="4" t="str">
        <f>IF(I330=_xlfn.XLOOKUP(F330,Lists!$D$2:$D$13,Lists!$E$2:$E$13,"Not Found"),"OK","Check Price")</f>
        <v>Check Price</v>
      </c>
    </row>
    <row r="331" spans="1:14" ht="15.5" hidden="1" thickTop="1" thickBot="1" x14ac:dyDescent="0.4">
      <c r="A331" s="36" t="str">
        <f t="shared" si="10"/>
        <v>ORD0330</v>
      </c>
      <c r="B331" s="34">
        <v>45791</v>
      </c>
      <c r="C331" s="37" t="s">
        <v>70</v>
      </c>
      <c r="D331" s="37" t="s">
        <v>39</v>
      </c>
      <c r="E331" s="37" t="s">
        <v>18</v>
      </c>
      <c r="F331" s="37" t="s">
        <v>49</v>
      </c>
      <c r="G331" s="37" t="s">
        <v>24</v>
      </c>
      <c r="H331" s="37">
        <v>7</v>
      </c>
      <c r="I331" s="37">
        <v>1500</v>
      </c>
      <c r="J331" s="37">
        <v>0.25</v>
      </c>
      <c r="K331" s="37">
        <f t="shared" si="11"/>
        <v>7875</v>
      </c>
      <c r="L331" s="37" t="s">
        <v>21</v>
      </c>
      <c r="M331" s="37" t="s">
        <v>33</v>
      </c>
      <c r="N331" s="4" t="str">
        <f>IF(I331=_xlfn.XLOOKUP(F331,Lists!$D$2:$D$13,Lists!$E$2:$E$13,"Not Found"),"OK","Check Price")</f>
        <v>Check Price</v>
      </c>
    </row>
    <row r="332" spans="1:14" ht="15.5" thickTop="1" thickBot="1" x14ac:dyDescent="0.4">
      <c r="A332" s="36" t="str">
        <f t="shared" si="10"/>
        <v>ORD0331</v>
      </c>
      <c r="B332" s="34">
        <v>45925</v>
      </c>
      <c r="C332" s="38" t="s">
        <v>70</v>
      </c>
      <c r="D332" s="38" t="s">
        <v>54</v>
      </c>
      <c r="E332" s="38" t="s">
        <v>18</v>
      </c>
      <c r="F332" s="38" t="s">
        <v>55</v>
      </c>
      <c r="G332" s="35" t="str">
        <f>_xlfn.XLOOKUP(F332,Lists!$J$2:$J$13,Lists!$K$2:$K$13,"Not Found")</f>
        <v>Office Supplies</v>
      </c>
      <c r="H332" s="38">
        <v>5</v>
      </c>
      <c r="I332" s="35">
        <f>_xlfn.XLOOKUP(F332,Lists!$D$2:$D$13,Lists!$E$2:$E$13,"Not Found")</f>
        <v>1500</v>
      </c>
      <c r="J332" s="48">
        <v>0.25</v>
      </c>
      <c r="K332" s="35">
        <f>H332*I332*(1-J332)</f>
        <v>5625</v>
      </c>
      <c r="L332" s="38" t="s">
        <v>41</v>
      </c>
      <c r="M332" s="38" t="s">
        <v>33</v>
      </c>
      <c r="N332" s="4" t="str">
        <f>IF(I332=_xlfn.XLOOKUP(F332,Lists!$D$2:$D$13,Lists!$E$2:$E$13,"Not Found"),"OK","Check Price")</f>
        <v>OK</v>
      </c>
    </row>
    <row r="333" spans="1:14" ht="15.5" hidden="1" thickTop="1" thickBot="1" x14ac:dyDescent="0.4">
      <c r="A333" s="36" t="str">
        <f t="shared" si="10"/>
        <v>ORD0332</v>
      </c>
      <c r="B333" s="34">
        <v>45789</v>
      </c>
      <c r="C333" s="37" t="s">
        <v>70</v>
      </c>
      <c r="D333" s="37" t="s">
        <v>34</v>
      </c>
      <c r="E333" s="37" t="s">
        <v>18</v>
      </c>
      <c r="F333" s="37" t="s">
        <v>52</v>
      </c>
      <c r="G333" s="37" t="s">
        <v>19</v>
      </c>
      <c r="H333" s="37">
        <v>1</v>
      </c>
      <c r="I333" s="37">
        <v>1200</v>
      </c>
      <c r="J333" s="37">
        <v>0.15</v>
      </c>
      <c r="K333" s="37">
        <f t="shared" si="11"/>
        <v>1020</v>
      </c>
      <c r="L333" s="37" t="s">
        <v>53</v>
      </c>
      <c r="M333" s="37" t="s">
        <v>27</v>
      </c>
      <c r="N333" s="4" t="str">
        <f>IF(I333=_xlfn.XLOOKUP(F333,Lists!$D$2:$D$13,Lists!$E$2:$E$13,"Not Found"),"OK","Check Price")</f>
        <v>OK</v>
      </c>
    </row>
    <row r="334" spans="1:14" ht="15.5" hidden="1" thickTop="1" thickBot="1" x14ac:dyDescent="0.4">
      <c r="A334" s="36" t="str">
        <f t="shared" si="10"/>
        <v>ORD0333</v>
      </c>
      <c r="B334" s="34">
        <v>45428</v>
      </c>
      <c r="C334" s="38" t="s">
        <v>70</v>
      </c>
      <c r="D334" s="38" t="s">
        <v>48</v>
      </c>
      <c r="E334" s="38" t="s">
        <v>18</v>
      </c>
      <c r="F334" s="38" t="s">
        <v>36</v>
      </c>
      <c r="G334" s="38" t="s">
        <v>24</v>
      </c>
      <c r="H334" s="38">
        <v>8</v>
      </c>
      <c r="I334" s="38">
        <v>350</v>
      </c>
      <c r="J334" s="38">
        <v>0.1</v>
      </c>
      <c r="K334" s="38">
        <f t="shared" si="11"/>
        <v>2520</v>
      </c>
      <c r="L334" s="38" t="s">
        <v>21</v>
      </c>
      <c r="M334" s="38" t="s">
        <v>33</v>
      </c>
      <c r="N334" s="4" t="str">
        <f>IF(I334=_xlfn.XLOOKUP(F334,Lists!$D$2:$D$13,Lists!$E$2:$E$13,"Not Found"),"OK","Check Price")</f>
        <v>Check Price</v>
      </c>
    </row>
    <row r="335" spans="1:14" ht="15.5" hidden="1" thickTop="1" thickBot="1" x14ac:dyDescent="0.4">
      <c r="A335" s="36" t="str">
        <f t="shared" si="10"/>
        <v>ORD0334</v>
      </c>
      <c r="B335" s="34">
        <v>45451</v>
      </c>
      <c r="C335" s="37" t="s">
        <v>69</v>
      </c>
      <c r="D335" s="37" t="s">
        <v>54</v>
      </c>
      <c r="E335" s="37" t="s">
        <v>119</v>
      </c>
      <c r="F335" s="37" t="s">
        <v>49</v>
      </c>
      <c r="G335" s="37" t="s">
        <v>30</v>
      </c>
      <c r="H335" s="37">
        <v>9</v>
      </c>
      <c r="I335" s="37">
        <v>1200</v>
      </c>
      <c r="J335" s="37">
        <v>0.2</v>
      </c>
      <c r="K335" s="37">
        <f t="shared" si="11"/>
        <v>8640</v>
      </c>
      <c r="L335" s="37" t="s">
        <v>41</v>
      </c>
      <c r="M335" s="37" t="s">
        <v>33</v>
      </c>
      <c r="N335" s="4" t="str">
        <f>IF(I335=_xlfn.XLOOKUP(F335,Lists!$D$2:$D$13,Lists!$E$2:$E$13,"Not Found"),"OK","Check Price")</f>
        <v>Check Price</v>
      </c>
    </row>
    <row r="336" spans="1:14" ht="15.5" hidden="1" thickTop="1" thickBot="1" x14ac:dyDescent="0.4">
      <c r="A336" s="36" t="str">
        <f t="shared" si="10"/>
        <v>ORD0335</v>
      </c>
      <c r="B336" s="34">
        <v>45871</v>
      </c>
      <c r="C336" s="38" t="s">
        <v>70</v>
      </c>
      <c r="D336" s="38" t="s">
        <v>34</v>
      </c>
      <c r="E336" s="38" t="s">
        <v>29</v>
      </c>
      <c r="F336" s="38" t="s">
        <v>36</v>
      </c>
      <c r="G336" s="38" t="s">
        <v>24</v>
      </c>
      <c r="H336" s="38">
        <v>2</v>
      </c>
      <c r="I336" s="38">
        <v>1200</v>
      </c>
      <c r="J336" s="38">
        <v>0.2</v>
      </c>
      <c r="K336" s="38">
        <f t="shared" si="11"/>
        <v>1920</v>
      </c>
      <c r="L336" s="38" t="s">
        <v>56</v>
      </c>
      <c r="M336" s="38" t="s">
        <v>27</v>
      </c>
      <c r="N336" s="4" t="str">
        <f>IF(I336=_xlfn.XLOOKUP(F336,Lists!$D$2:$D$13,Lists!$E$2:$E$13,"Not Found"),"OK","Check Price")</f>
        <v>Check Price</v>
      </c>
    </row>
    <row r="337" spans="1:14" ht="15.5" hidden="1" thickTop="1" thickBot="1" x14ac:dyDescent="0.4">
      <c r="A337" s="36" t="str">
        <f t="shared" si="10"/>
        <v>ORD0336</v>
      </c>
      <c r="B337" s="34">
        <v>45348</v>
      </c>
      <c r="C337" s="37" t="s">
        <v>74</v>
      </c>
      <c r="D337" s="37" t="s">
        <v>39</v>
      </c>
      <c r="E337" s="37" t="s">
        <v>29</v>
      </c>
      <c r="F337" s="37" t="s">
        <v>31</v>
      </c>
      <c r="G337" s="37" t="s">
        <v>19</v>
      </c>
      <c r="H337" s="37">
        <v>9</v>
      </c>
      <c r="I337" s="37">
        <v>350</v>
      </c>
      <c r="J337" s="37">
        <v>0.1</v>
      </c>
      <c r="K337" s="37">
        <f t="shared" si="11"/>
        <v>2835</v>
      </c>
      <c r="L337" s="37" t="s">
        <v>26</v>
      </c>
      <c r="M337" s="37" t="s">
        <v>27</v>
      </c>
      <c r="N337" s="4" t="str">
        <f>IF(I337=_xlfn.XLOOKUP(F337,Lists!$D$2:$D$13,Lists!$E$2:$E$13,"Not Found"),"OK","Check Price")</f>
        <v>Check Price</v>
      </c>
    </row>
    <row r="338" spans="1:14" ht="15.5" thickTop="1" thickBot="1" x14ac:dyDescent="0.4">
      <c r="A338" s="36" t="str">
        <f t="shared" si="10"/>
        <v>ORD0337</v>
      </c>
      <c r="B338" s="34">
        <v>45426</v>
      </c>
      <c r="C338" s="38" t="s">
        <v>65</v>
      </c>
      <c r="D338" s="38" t="s">
        <v>23</v>
      </c>
      <c r="E338" s="38" t="s">
        <v>29</v>
      </c>
      <c r="F338" s="38" t="s">
        <v>46</v>
      </c>
      <c r="G338" s="35" t="str">
        <f>_xlfn.XLOOKUP(F338,Lists!$J$2:$J$13,Lists!$K$2:$K$13,"Not Found")</f>
        <v>Furniture</v>
      </c>
      <c r="H338" s="38">
        <v>9</v>
      </c>
      <c r="I338" s="35">
        <f>_xlfn.XLOOKUP(F338,Lists!$D$2:$D$13,Lists!$E$2:$E$13,"Not Found")</f>
        <v>22000</v>
      </c>
      <c r="J338" s="48">
        <v>0.1</v>
      </c>
      <c r="K338" s="35">
        <f>H338*I338*(1-J338)</f>
        <v>178200</v>
      </c>
      <c r="L338" s="38" t="s">
        <v>21</v>
      </c>
      <c r="M338" s="38" t="s">
        <v>38</v>
      </c>
      <c r="N338" s="4" t="str">
        <f>IF(I338=_xlfn.XLOOKUP(F338,Lists!$D$2:$D$13,Lists!$E$2:$E$13,"Not Found"),"OK","Check Price")</f>
        <v>OK</v>
      </c>
    </row>
    <row r="339" spans="1:14" ht="15.5" hidden="1" thickTop="1" thickBot="1" x14ac:dyDescent="0.4">
      <c r="A339" s="36" t="str">
        <f t="shared" si="10"/>
        <v>ORD0338</v>
      </c>
      <c r="B339" s="34">
        <v>45608</v>
      </c>
      <c r="C339" s="37" t="s">
        <v>77</v>
      </c>
      <c r="D339" s="37" t="s">
        <v>48</v>
      </c>
      <c r="E339" s="37" t="s">
        <v>29</v>
      </c>
      <c r="F339" s="37" t="s">
        <v>43</v>
      </c>
      <c r="G339" s="37" t="s">
        <v>19</v>
      </c>
      <c r="H339" s="37">
        <v>5</v>
      </c>
      <c r="I339" s="37">
        <v>350</v>
      </c>
      <c r="J339" s="37">
        <v>0.05</v>
      </c>
      <c r="K339" s="37">
        <f t="shared" si="11"/>
        <v>1662.5</v>
      </c>
      <c r="L339" s="37" t="s">
        <v>41</v>
      </c>
      <c r="M339" s="37" t="s">
        <v>38</v>
      </c>
      <c r="N339" s="4" t="str">
        <f>IF(I339=_xlfn.XLOOKUP(F339,Lists!$D$2:$D$13,Lists!$E$2:$E$13,"Not Found"),"OK","Check Price")</f>
        <v>Check Price</v>
      </c>
    </row>
    <row r="340" spans="1:14" ht="15.5" hidden="1" thickTop="1" thickBot="1" x14ac:dyDescent="0.4">
      <c r="A340" s="36" t="str">
        <f t="shared" si="10"/>
        <v>ORD0339</v>
      </c>
      <c r="B340" s="34">
        <v>45496</v>
      </c>
      <c r="C340" s="38" t="s">
        <v>59</v>
      </c>
      <c r="D340" s="38" t="s">
        <v>28</v>
      </c>
      <c r="E340" s="38" t="s">
        <v>119</v>
      </c>
      <c r="F340" s="38" t="s">
        <v>36</v>
      </c>
      <c r="G340" s="38" t="s">
        <v>30</v>
      </c>
      <c r="H340" s="38">
        <v>1</v>
      </c>
      <c r="I340" s="38">
        <v>1200</v>
      </c>
      <c r="J340" s="38">
        <v>0.15</v>
      </c>
      <c r="K340" s="38">
        <f t="shared" si="11"/>
        <v>1020</v>
      </c>
      <c r="L340" s="38" t="s">
        <v>47</v>
      </c>
      <c r="M340" s="38" t="s">
        <v>27</v>
      </c>
      <c r="N340" s="4" t="str">
        <f>IF(I340=_xlfn.XLOOKUP(F340,Lists!$D$2:$D$13,Lists!$E$2:$E$13,"Not Found"),"OK","Check Price")</f>
        <v>Check Price</v>
      </c>
    </row>
    <row r="341" spans="1:14" ht="15.5" hidden="1" thickTop="1" thickBot="1" x14ac:dyDescent="0.4">
      <c r="A341" s="36" t="str">
        <f t="shared" si="10"/>
        <v>ORD0340</v>
      </c>
      <c r="B341" s="34">
        <v>45921</v>
      </c>
      <c r="C341" s="37" t="s">
        <v>75</v>
      </c>
      <c r="D341" s="37" t="s">
        <v>45</v>
      </c>
      <c r="E341" s="37" t="s">
        <v>80</v>
      </c>
      <c r="F341" s="37" t="s">
        <v>49</v>
      </c>
      <c r="G341" s="37" t="s">
        <v>30</v>
      </c>
      <c r="H341" s="37">
        <v>4</v>
      </c>
      <c r="I341" s="37">
        <v>1500</v>
      </c>
      <c r="J341" s="37">
        <v>0.25</v>
      </c>
      <c r="K341" s="37">
        <f t="shared" si="11"/>
        <v>4500</v>
      </c>
      <c r="L341" s="37" t="s">
        <v>26</v>
      </c>
      <c r="M341" s="37" t="s">
        <v>38</v>
      </c>
      <c r="N341" s="4" t="str">
        <f>IF(I341=_xlfn.XLOOKUP(F341,Lists!$D$2:$D$13,Lists!$E$2:$E$13,"Not Found"),"OK","Check Price")</f>
        <v>Check Price</v>
      </c>
    </row>
    <row r="342" spans="1:14" ht="15.5" thickTop="1" thickBot="1" x14ac:dyDescent="0.4">
      <c r="A342" s="36" t="str">
        <f t="shared" si="10"/>
        <v>ORD0341</v>
      </c>
      <c r="B342" s="34">
        <v>45630</v>
      </c>
      <c r="C342" s="38" t="s">
        <v>60</v>
      </c>
      <c r="D342" s="38" t="s">
        <v>48</v>
      </c>
      <c r="E342" s="38" t="s">
        <v>119</v>
      </c>
      <c r="F342" s="38" t="s">
        <v>46</v>
      </c>
      <c r="G342" s="35" t="str">
        <f>_xlfn.XLOOKUP(F342,Lists!$J$2:$J$13,Lists!$K$2:$K$13,"Not Found")</f>
        <v>Furniture</v>
      </c>
      <c r="H342" s="38">
        <v>4</v>
      </c>
      <c r="I342" s="35">
        <f>_xlfn.XLOOKUP(F342,Lists!$D$2:$D$13,Lists!$E$2:$E$13,"Not Found")</f>
        <v>22000</v>
      </c>
      <c r="J342" s="48">
        <v>0.25</v>
      </c>
      <c r="K342" s="35">
        <f>H342*I342*(1-J342)</f>
        <v>66000</v>
      </c>
      <c r="L342" s="38" t="s">
        <v>56</v>
      </c>
      <c r="M342" s="38" t="s">
        <v>27</v>
      </c>
      <c r="N342" s="4" t="str">
        <f>IF(I342=_xlfn.XLOOKUP(F342,Lists!$D$2:$D$13,Lists!$E$2:$E$13,"Not Found"),"OK","Check Price")</f>
        <v>OK</v>
      </c>
    </row>
    <row r="343" spans="1:14" ht="15.5" hidden="1" thickTop="1" thickBot="1" x14ac:dyDescent="0.4">
      <c r="A343" s="36" t="str">
        <f t="shared" si="10"/>
        <v>ORD0342</v>
      </c>
      <c r="B343" s="34">
        <v>45631</v>
      </c>
      <c r="C343" s="37" t="s">
        <v>69</v>
      </c>
      <c r="D343" s="37" t="s">
        <v>39</v>
      </c>
      <c r="E343" s="37" t="s">
        <v>119</v>
      </c>
      <c r="F343" s="37" t="s">
        <v>31</v>
      </c>
      <c r="G343" s="37" t="s">
        <v>30</v>
      </c>
      <c r="H343" s="37">
        <v>8</v>
      </c>
      <c r="I343" s="37">
        <v>4000</v>
      </c>
      <c r="J343" s="37">
        <v>0.05</v>
      </c>
      <c r="K343" s="37">
        <f t="shared" si="11"/>
        <v>30400</v>
      </c>
      <c r="L343" s="37" t="s">
        <v>53</v>
      </c>
      <c r="M343" s="37" t="s">
        <v>27</v>
      </c>
      <c r="N343" s="4" t="str">
        <f>IF(I343=_xlfn.XLOOKUP(F343,Lists!$D$2:$D$13,Lists!$E$2:$E$13,"Not Found"),"OK","Check Price")</f>
        <v>OK</v>
      </c>
    </row>
    <row r="344" spans="1:14" ht="15.5" hidden="1" thickTop="1" thickBot="1" x14ac:dyDescent="0.4">
      <c r="A344" s="36" t="str">
        <f t="shared" si="10"/>
        <v>ORD0343</v>
      </c>
      <c r="B344" s="34">
        <v>45573</v>
      </c>
      <c r="C344" s="38" t="s">
        <v>65</v>
      </c>
      <c r="D344" s="38" t="s">
        <v>51</v>
      </c>
      <c r="E344" s="38" t="s">
        <v>29</v>
      </c>
      <c r="F344" s="38" t="s">
        <v>25</v>
      </c>
      <c r="G344" s="38" t="s">
        <v>19</v>
      </c>
      <c r="H344" s="38">
        <v>7</v>
      </c>
      <c r="I344" s="38">
        <v>5000</v>
      </c>
      <c r="J344" s="38">
        <v>0.15</v>
      </c>
      <c r="K344" s="38">
        <f t="shared" si="11"/>
        <v>29750</v>
      </c>
      <c r="L344" s="38" t="s">
        <v>50</v>
      </c>
      <c r="M344" s="38" t="s">
        <v>33</v>
      </c>
      <c r="N344" s="4" t="str">
        <f>IF(I344=_xlfn.XLOOKUP(F344,Lists!$D$2:$D$13,Lists!$E$2:$E$13,"Not Found"),"OK","Check Price")</f>
        <v>Check Price</v>
      </c>
    </row>
    <row r="345" spans="1:14" ht="15.5" hidden="1" thickTop="1" thickBot="1" x14ac:dyDescent="0.4">
      <c r="A345" s="36" t="str">
        <f t="shared" si="10"/>
        <v>ORD0344</v>
      </c>
      <c r="B345" s="34">
        <v>45620</v>
      </c>
      <c r="C345" s="37" t="s">
        <v>73</v>
      </c>
      <c r="D345" s="37" t="s">
        <v>28</v>
      </c>
      <c r="E345" s="37" t="s">
        <v>18</v>
      </c>
      <c r="F345" s="37" t="s">
        <v>58</v>
      </c>
      <c r="G345" s="37" t="s">
        <v>30</v>
      </c>
      <c r="H345" s="37">
        <v>7</v>
      </c>
      <c r="I345" s="37">
        <v>350</v>
      </c>
      <c r="J345" s="37">
        <v>0.1</v>
      </c>
      <c r="K345" s="37">
        <f t="shared" si="11"/>
        <v>2205</v>
      </c>
      <c r="L345" s="37" t="s">
        <v>47</v>
      </c>
      <c r="M345" s="37" t="s">
        <v>27</v>
      </c>
      <c r="N345" s="4" t="str">
        <f>IF(I345=_xlfn.XLOOKUP(F345,Lists!$D$2:$D$13,Lists!$E$2:$E$13,"Not Found"),"OK","Check Price")</f>
        <v>Check Price</v>
      </c>
    </row>
    <row r="346" spans="1:14" ht="15.5" hidden="1" thickTop="1" thickBot="1" x14ac:dyDescent="0.4">
      <c r="A346" s="36" t="str">
        <f t="shared" si="10"/>
        <v>ORD0345</v>
      </c>
      <c r="B346" s="34">
        <v>45465</v>
      </c>
      <c r="C346" s="38" t="s">
        <v>68</v>
      </c>
      <c r="D346" s="38" t="s">
        <v>34</v>
      </c>
      <c r="E346" s="38" t="s">
        <v>80</v>
      </c>
      <c r="F346" s="38" t="s">
        <v>25</v>
      </c>
      <c r="G346" s="38" t="s">
        <v>19</v>
      </c>
      <c r="H346" s="38">
        <v>8</v>
      </c>
      <c r="I346" s="38">
        <v>4000</v>
      </c>
      <c r="J346" s="38">
        <v>0.05</v>
      </c>
      <c r="K346" s="38">
        <f t="shared" si="11"/>
        <v>30400</v>
      </c>
      <c r="L346" s="38" t="s">
        <v>37</v>
      </c>
      <c r="M346" s="38" t="s">
        <v>27</v>
      </c>
      <c r="N346" s="4" t="str">
        <f>IF(I346=_xlfn.XLOOKUP(F346,Lists!$D$2:$D$13,Lists!$E$2:$E$13,"Not Found"),"OK","Check Price")</f>
        <v>Check Price</v>
      </c>
    </row>
    <row r="347" spans="1:14" ht="15.5" hidden="1" thickTop="1" thickBot="1" x14ac:dyDescent="0.4">
      <c r="A347" s="36" t="str">
        <f t="shared" si="10"/>
        <v>ORD0346</v>
      </c>
      <c r="B347" s="34">
        <v>45572</v>
      </c>
      <c r="C347" s="37" t="s">
        <v>76</v>
      </c>
      <c r="D347" s="37" t="s">
        <v>17</v>
      </c>
      <c r="E347" s="37" t="s">
        <v>80</v>
      </c>
      <c r="F347" s="37" t="s">
        <v>49</v>
      </c>
      <c r="G347" s="37" t="s">
        <v>24</v>
      </c>
      <c r="H347" s="37">
        <v>6</v>
      </c>
      <c r="I347" s="37">
        <v>350</v>
      </c>
      <c r="J347" s="37">
        <v>0.15</v>
      </c>
      <c r="K347" s="37">
        <f t="shared" si="11"/>
        <v>1785</v>
      </c>
      <c r="L347" s="37" t="s">
        <v>32</v>
      </c>
      <c r="M347" s="37" t="s">
        <v>27</v>
      </c>
      <c r="N347" s="4" t="str">
        <f>IF(I347=_xlfn.XLOOKUP(F347,Lists!$D$2:$D$13,Lists!$E$2:$E$13,"Not Found"),"OK","Check Price")</f>
        <v>OK</v>
      </c>
    </row>
    <row r="348" spans="1:14" ht="15.5" hidden="1" thickTop="1" thickBot="1" x14ac:dyDescent="0.4">
      <c r="A348" s="36" t="str">
        <f t="shared" si="10"/>
        <v>ORD0347</v>
      </c>
      <c r="B348" s="34">
        <v>45351</v>
      </c>
      <c r="C348" s="38" t="s">
        <v>70</v>
      </c>
      <c r="D348" s="38" t="s">
        <v>39</v>
      </c>
      <c r="E348" s="38" t="s">
        <v>35</v>
      </c>
      <c r="F348" s="38" t="s">
        <v>43</v>
      </c>
      <c r="G348" s="38" t="s">
        <v>24</v>
      </c>
      <c r="H348" s="38">
        <v>8</v>
      </c>
      <c r="I348" s="38">
        <v>2500</v>
      </c>
      <c r="J348" s="38">
        <v>0.1</v>
      </c>
      <c r="K348" s="38">
        <f t="shared" si="11"/>
        <v>18000</v>
      </c>
      <c r="L348" s="38" t="s">
        <v>41</v>
      </c>
      <c r="M348" s="38" t="s">
        <v>22</v>
      </c>
      <c r="N348" s="4" t="str">
        <f>IF(I348=_xlfn.XLOOKUP(F348,Lists!$D$2:$D$13,Lists!$E$2:$E$13,"Not Found"),"OK","Check Price")</f>
        <v>Check Price</v>
      </c>
    </row>
    <row r="349" spans="1:14" ht="15.5" hidden="1" thickTop="1" thickBot="1" x14ac:dyDescent="0.4">
      <c r="A349" s="36" t="str">
        <f t="shared" si="10"/>
        <v>ORD0348</v>
      </c>
      <c r="B349" s="34">
        <v>45477</v>
      </c>
      <c r="C349" s="37" t="s">
        <v>64</v>
      </c>
      <c r="D349" s="37" t="s">
        <v>51</v>
      </c>
      <c r="E349" s="37" t="s">
        <v>35</v>
      </c>
      <c r="F349" s="37" t="s">
        <v>31</v>
      </c>
      <c r="G349" s="37" t="s">
        <v>19</v>
      </c>
      <c r="H349" s="37">
        <v>3</v>
      </c>
      <c r="I349" s="37">
        <v>4000</v>
      </c>
      <c r="J349" s="37">
        <v>0.1</v>
      </c>
      <c r="K349" s="37">
        <f t="shared" si="11"/>
        <v>10800</v>
      </c>
      <c r="L349" s="37" t="s">
        <v>26</v>
      </c>
      <c r="M349" s="37" t="s">
        <v>38</v>
      </c>
      <c r="N349" s="4" t="str">
        <f>IF(I349=_xlfn.XLOOKUP(F349,Lists!$D$2:$D$13,Lists!$E$2:$E$13,"Not Found"),"OK","Check Price")</f>
        <v>OK</v>
      </c>
    </row>
    <row r="350" spans="1:14" ht="15.5" hidden="1" thickTop="1" thickBot="1" x14ac:dyDescent="0.4">
      <c r="A350" s="36" t="str">
        <f t="shared" si="10"/>
        <v>ORD0349</v>
      </c>
      <c r="B350" s="34">
        <v>45430</v>
      </c>
      <c r="C350" s="38" t="s">
        <v>72</v>
      </c>
      <c r="D350" s="38" t="s">
        <v>42</v>
      </c>
      <c r="E350" s="38" t="s">
        <v>80</v>
      </c>
      <c r="F350" s="38" t="s">
        <v>31</v>
      </c>
      <c r="G350" s="38" t="s">
        <v>30</v>
      </c>
      <c r="H350" s="38">
        <v>5</v>
      </c>
      <c r="I350" s="38">
        <v>1200</v>
      </c>
      <c r="J350" s="38">
        <v>0.25</v>
      </c>
      <c r="K350" s="38">
        <f t="shared" si="11"/>
        <v>4500</v>
      </c>
      <c r="L350" s="38" t="s">
        <v>50</v>
      </c>
      <c r="M350" s="38" t="s">
        <v>27</v>
      </c>
      <c r="N350" s="4" t="str">
        <f>IF(I350=_xlfn.XLOOKUP(F350,Lists!$D$2:$D$13,Lists!$E$2:$E$13,"Not Found"),"OK","Check Price")</f>
        <v>Check Price</v>
      </c>
    </row>
    <row r="351" spans="1:14" ht="15.5" thickTop="1" thickBot="1" x14ac:dyDescent="0.4">
      <c r="A351" s="36" t="str">
        <f t="shared" si="10"/>
        <v>ORD0350</v>
      </c>
      <c r="B351" s="34">
        <v>45650</v>
      </c>
      <c r="C351" s="37" t="s">
        <v>65</v>
      </c>
      <c r="D351" s="37" t="s">
        <v>54</v>
      </c>
      <c r="E351" s="37" t="s">
        <v>80</v>
      </c>
      <c r="F351" s="37" t="s">
        <v>55</v>
      </c>
      <c r="G351" s="35" t="str">
        <f>_xlfn.XLOOKUP(F351,Lists!$J$2:$J$13,Lists!$K$2:$K$13,"Not Found")</f>
        <v>Office Supplies</v>
      </c>
      <c r="H351" s="37">
        <v>9</v>
      </c>
      <c r="I351" s="35">
        <f>_xlfn.XLOOKUP(F351,Lists!$D$2:$D$13,Lists!$E$2:$E$13,"Not Found")</f>
        <v>1500</v>
      </c>
      <c r="J351" s="47">
        <v>0.25</v>
      </c>
      <c r="K351" s="35">
        <f>H351*I351*(1-J351)</f>
        <v>10125</v>
      </c>
      <c r="L351" s="37" t="s">
        <v>44</v>
      </c>
      <c r="M351" s="37" t="s">
        <v>22</v>
      </c>
      <c r="N351" s="4" t="str">
        <f>IF(I351=_xlfn.XLOOKUP(F351,Lists!$D$2:$D$13,Lists!$E$2:$E$13,"Not Found"),"OK","Check Price")</f>
        <v>OK</v>
      </c>
    </row>
    <row r="352" spans="1:14" ht="15.5" hidden="1" thickTop="1" thickBot="1" x14ac:dyDescent="0.4">
      <c r="A352" s="36" t="str">
        <f t="shared" si="10"/>
        <v>ORD0351</v>
      </c>
      <c r="B352" s="34">
        <v>45566</v>
      </c>
      <c r="C352" s="38" t="s">
        <v>60</v>
      </c>
      <c r="D352" s="38" t="s">
        <v>28</v>
      </c>
      <c r="E352" s="38" t="s">
        <v>80</v>
      </c>
      <c r="F352" s="38" t="s">
        <v>31</v>
      </c>
      <c r="G352" s="38" t="s">
        <v>30</v>
      </c>
      <c r="H352" s="38">
        <v>5</v>
      </c>
      <c r="I352" s="38">
        <v>2500</v>
      </c>
      <c r="J352" s="38">
        <v>0.15</v>
      </c>
      <c r="K352" s="38">
        <f t="shared" si="11"/>
        <v>10625</v>
      </c>
      <c r="L352" s="38" t="s">
        <v>41</v>
      </c>
      <c r="M352" s="38" t="s">
        <v>27</v>
      </c>
      <c r="N352" s="4" t="str">
        <f>IF(I352=_xlfn.XLOOKUP(F352,Lists!$D$2:$D$13,Lists!$E$2:$E$13,"Not Found"),"OK","Check Price")</f>
        <v>Check Price</v>
      </c>
    </row>
    <row r="353" spans="1:14" ht="15.5" thickTop="1" thickBot="1" x14ac:dyDescent="0.4">
      <c r="A353" s="36" t="str">
        <f t="shared" si="10"/>
        <v>ORD0352</v>
      </c>
      <c r="B353" s="34">
        <v>45629</v>
      </c>
      <c r="C353" s="37" t="s">
        <v>68</v>
      </c>
      <c r="D353" s="37" t="s">
        <v>28</v>
      </c>
      <c r="E353" s="37" t="s">
        <v>119</v>
      </c>
      <c r="F353" s="37" t="s">
        <v>20</v>
      </c>
      <c r="G353" s="35" t="str">
        <f>_xlfn.XLOOKUP(F353,Lists!$J$2:$J$13,Lists!$K$2:$K$13,"Not Found")</f>
        <v>Electronics</v>
      </c>
      <c r="H353" s="37">
        <v>1</v>
      </c>
      <c r="I353" s="35">
        <f>_xlfn.XLOOKUP(F353,Lists!$D$2:$D$13,Lists!$E$2:$E$13,"Not Found")</f>
        <v>85000</v>
      </c>
      <c r="J353" s="47">
        <v>0.1</v>
      </c>
      <c r="K353" s="35">
        <f t="shared" si="11"/>
        <v>76500</v>
      </c>
      <c r="L353" s="37" t="s">
        <v>41</v>
      </c>
      <c r="M353" s="37" t="s">
        <v>33</v>
      </c>
      <c r="N353" s="4" t="str">
        <f>IF(I353=_xlfn.XLOOKUP(F353,Lists!$D$2:$D$13,Lists!$E$2:$E$13,"Not Found"),"OK","Check Price")</f>
        <v>OK</v>
      </c>
    </row>
    <row r="354" spans="1:14" ht="15.5" thickTop="1" thickBot="1" x14ac:dyDescent="0.4">
      <c r="A354" s="36" t="str">
        <f t="shared" si="10"/>
        <v>ORD0353</v>
      </c>
      <c r="B354" s="34">
        <v>45403</v>
      </c>
      <c r="C354" s="38" t="s">
        <v>71</v>
      </c>
      <c r="D354" s="38" t="s">
        <v>23</v>
      </c>
      <c r="E354" s="38" t="s">
        <v>80</v>
      </c>
      <c r="F354" s="38" t="s">
        <v>20</v>
      </c>
      <c r="G354" s="35" t="str">
        <f>_xlfn.XLOOKUP(F354,Lists!$J$2:$J$13,Lists!$K$2:$K$13,"Not Found")</f>
        <v>Electronics</v>
      </c>
      <c r="H354" s="38">
        <v>9</v>
      </c>
      <c r="I354" s="35">
        <f>_xlfn.XLOOKUP(F354,Lists!$D$2:$D$13,Lists!$E$2:$E$13,"Not Found")</f>
        <v>85000</v>
      </c>
      <c r="J354" s="48">
        <v>0.05</v>
      </c>
      <c r="K354" s="35">
        <f t="shared" si="11"/>
        <v>726750</v>
      </c>
      <c r="L354" s="38" t="s">
        <v>37</v>
      </c>
      <c r="M354" s="38" t="s">
        <v>22</v>
      </c>
      <c r="N354" s="4" t="str">
        <f>IF(I354=_xlfn.XLOOKUP(F354,Lists!$D$2:$D$13,Lists!$E$2:$E$13,"Not Found"),"OK","Check Price")</f>
        <v>OK</v>
      </c>
    </row>
    <row r="355" spans="1:14" ht="15.5" thickTop="1" thickBot="1" x14ac:dyDescent="0.4">
      <c r="A355" s="36" t="str">
        <f t="shared" si="10"/>
        <v>ORD0354</v>
      </c>
      <c r="B355" s="34">
        <v>45846</v>
      </c>
      <c r="C355" s="37" t="s">
        <v>74</v>
      </c>
      <c r="D355" s="37" t="s">
        <v>23</v>
      </c>
      <c r="E355" s="37" t="s">
        <v>79</v>
      </c>
      <c r="F355" s="37" t="s">
        <v>46</v>
      </c>
      <c r="G355" s="35" t="str">
        <f>_xlfn.XLOOKUP(F355,Lists!$J$2:$J$13,Lists!$K$2:$K$13,"Not Found")</f>
        <v>Furniture</v>
      </c>
      <c r="H355" s="37">
        <v>10</v>
      </c>
      <c r="I355" s="35">
        <f>_xlfn.XLOOKUP(F355,Lists!$D$2:$D$13,Lists!$E$2:$E$13,"Not Found")</f>
        <v>22000</v>
      </c>
      <c r="J355" s="47">
        <v>0.1</v>
      </c>
      <c r="K355" s="35">
        <f t="shared" si="11"/>
        <v>198000</v>
      </c>
      <c r="L355" s="37" t="s">
        <v>41</v>
      </c>
      <c r="M355" s="37" t="s">
        <v>27</v>
      </c>
      <c r="N355" s="4" t="str">
        <f>IF(I355=_xlfn.XLOOKUP(F355,Lists!$D$2:$D$13,Lists!$E$2:$E$13,"Not Found"),"OK","Check Price")</f>
        <v>OK</v>
      </c>
    </row>
    <row r="356" spans="1:14" ht="15.5" hidden="1" thickTop="1" thickBot="1" x14ac:dyDescent="0.4">
      <c r="A356" s="36" t="str">
        <f t="shared" si="10"/>
        <v>ORD0355</v>
      </c>
      <c r="B356" s="34">
        <v>45563</v>
      </c>
      <c r="C356" s="38" t="s">
        <v>61</v>
      </c>
      <c r="D356" s="38" t="s">
        <v>28</v>
      </c>
      <c r="E356" s="38" t="s">
        <v>119</v>
      </c>
      <c r="F356" s="38" t="s">
        <v>36</v>
      </c>
      <c r="G356" s="38" t="s">
        <v>24</v>
      </c>
      <c r="H356" s="38">
        <v>1</v>
      </c>
      <c r="I356" s="38">
        <v>85000</v>
      </c>
      <c r="J356" s="38">
        <v>0.1</v>
      </c>
      <c r="K356" s="38">
        <f t="shared" si="11"/>
        <v>76500</v>
      </c>
      <c r="L356" s="38" t="s">
        <v>56</v>
      </c>
      <c r="M356" s="38" t="s">
        <v>27</v>
      </c>
      <c r="N356" s="4" t="str">
        <f>IF(I356=_xlfn.XLOOKUP(F356,Lists!$D$2:$D$13,Lists!$E$2:$E$13,"Not Found"),"OK","Check Price")</f>
        <v>Check Price</v>
      </c>
    </row>
    <row r="357" spans="1:14" ht="15.5" hidden="1" thickTop="1" thickBot="1" x14ac:dyDescent="0.4">
      <c r="A357" s="36" t="str">
        <f t="shared" si="10"/>
        <v>ORD0356</v>
      </c>
      <c r="B357" s="34">
        <v>45511</v>
      </c>
      <c r="C357" s="37" t="s">
        <v>71</v>
      </c>
      <c r="D357" s="37" t="s">
        <v>42</v>
      </c>
      <c r="E357" s="37" t="s">
        <v>79</v>
      </c>
      <c r="F357" s="37" t="s">
        <v>57</v>
      </c>
      <c r="G357" s="37" t="s">
        <v>30</v>
      </c>
      <c r="H357" s="37">
        <v>4</v>
      </c>
      <c r="I357" s="37">
        <v>85000</v>
      </c>
      <c r="J357" s="37">
        <v>0.25</v>
      </c>
      <c r="K357" s="37">
        <f t="shared" si="11"/>
        <v>255000</v>
      </c>
      <c r="L357" s="37" t="s">
        <v>21</v>
      </c>
      <c r="M357" s="37" t="s">
        <v>33</v>
      </c>
      <c r="N357" s="4" t="str">
        <f>IF(I357=_xlfn.XLOOKUP(F357,Lists!$D$2:$D$13,Lists!$E$2:$E$13,"Not Found"),"OK","Check Price")</f>
        <v>Check Price</v>
      </c>
    </row>
    <row r="358" spans="1:14" ht="15.5" hidden="1" thickTop="1" thickBot="1" x14ac:dyDescent="0.4">
      <c r="A358" s="36" t="str">
        <f t="shared" si="10"/>
        <v>ORD0357</v>
      </c>
      <c r="B358" s="34">
        <v>45618</v>
      </c>
      <c r="C358" s="38" t="s">
        <v>65</v>
      </c>
      <c r="D358" s="38" t="s">
        <v>39</v>
      </c>
      <c r="E358" s="38" t="s">
        <v>119</v>
      </c>
      <c r="F358" s="38" t="s">
        <v>43</v>
      </c>
      <c r="G358" s="38" t="s">
        <v>30</v>
      </c>
      <c r="H358" s="38">
        <v>1</v>
      </c>
      <c r="I358" s="38">
        <v>2500</v>
      </c>
      <c r="J358" s="38">
        <v>0.15</v>
      </c>
      <c r="K358" s="38">
        <f t="shared" si="11"/>
        <v>2125</v>
      </c>
      <c r="L358" s="38" t="s">
        <v>56</v>
      </c>
      <c r="M358" s="38" t="s">
        <v>33</v>
      </c>
      <c r="N358" s="4" t="str">
        <f>IF(I358=_xlfn.XLOOKUP(F358,Lists!$D$2:$D$13,Lists!$E$2:$E$13,"Not Found"),"OK","Check Price")</f>
        <v>Check Price</v>
      </c>
    </row>
    <row r="359" spans="1:14" ht="15.5" thickTop="1" thickBot="1" x14ac:dyDescent="0.4">
      <c r="A359" s="36" t="str">
        <f t="shared" si="10"/>
        <v>ORD0358</v>
      </c>
      <c r="B359" s="34">
        <v>45480</v>
      </c>
      <c r="C359" s="37" t="s">
        <v>60</v>
      </c>
      <c r="D359" s="37" t="s">
        <v>54</v>
      </c>
      <c r="E359" s="37" t="s">
        <v>18</v>
      </c>
      <c r="F359" s="37" t="s">
        <v>55</v>
      </c>
      <c r="G359" s="35" t="str">
        <f>_xlfn.XLOOKUP(F359,Lists!$J$2:$J$13,Lists!$K$2:$K$13,"Not Found")</f>
        <v>Office Supplies</v>
      </c>
      <c r="H359" s="37">
        <v>10</v>
      </c>
      <c r="I359" s="35">
        <f>_xlfn.XLOOKUP(F359,Lists!$D$2:$D$13,Lists!$E$2:$E$13,"Not Found")</f>
        <v>1500</v>
      </c>
      <c r="J359" s="47">
        <v>0.15</v>
      </c>
      <c r="K359" s="35">
        <f>H359*I359*(1-J359)</f>
        <v>12750</v>
      </c>
      <c r="L359" s="37" t="s">
        <v>26</v>
      </c>
      <c r="M359" s="37" t="s">
        <v>27</v>
      </c>
      <c r="N359" s="4" t="str">
        <f>IF(I359=_xlfn.XLOOKUP(F359,Lists!$D$2:$D$13,Lists!$E$2:$E$13,"Not Found"),"OK","Check Price")</f>
        <v>OK</v>
      </c>
    </row>
    <row r="360" spans="1:14" ht="15.5" hidden="1" thickTop="1" thickBot="1" x14ac:dyDescent="0.4">
      <c r="A360" s="36" t="str">
        <f t="shared" si="10"/>
        <v>ORD0359</v>
      </c>
      <c r="B360" s="34">
        <v>45316</v>
      </c>
      <c r="C360" s="38" t="s">
        <v>63</v>
      </c>
      <c r="D360" s="38" t="s">
        <v>23</v>
      </c>
      <c r="E360" s="38" t="s">
        <v>29</v>
      </c>
      <c r="F360" s="38" t="s">
        <v>40</v>
      </c>
      <c r="G360" s="38" t="s">
        <v>19</v>
      </c>
      <c r="H360" s="38">
        <v>8</v>
      </c>
      <c r="I360" s="38">
        <v>2500</v>
      </c>
      <c r="J360" s="38">
        <v>0.1</v>
      </c>
      <c r="K360" s="38">
        <f t="shared" si="11"/>
        <v>18000</v>
      </c>
      <c r="L360" s="38" t="s">
        <v>26</v>
      </c>
      <c r="M360" s="38" t="s">
        <v>33</v>
      </c>
      <c r="N360" s="4" t="str">
        <f>IF(I360=_xlfn.XLOOKUP(F360,Lists!$D$2:$D$13,Lists!$E$2:$E$13,"Not Found"),"OK","Check Price")</f>
        <v>Check Price</v>
      </c>
    </row>
    <row r="361" spans="1:14" ht="15.5" thickTop="1" thickBot="1" x14ac:dyDescent="0.4">
      <c r="A361" s="36" t="str">
        <f t="shared" si="10"/>
        <v>ORD0360</v>
      </c>
      <c r="B361" s="34">
        <v>45778</v>
      </c>
      <c r="C361" s="37" t="s">
        <v>64</v>
      </c>
      <c r="D361" s="37" t="s">
        <v>45</v>
      </c>
      <c r="E361" s="37" t="s">
        <v>29</v>
      </c>
      <c r="F361" s="37" t="s">
        <v>20</v>
      </c>
      <c r="G361" s="35" t="str">
        <f>_xlfn.XLOOKUP(F361,Lists!$J$2:$J$13,Lists!$K$2:$K$13,"Not Found")</f>
        <v>Electronics</v>
      </c>
      <c r="H361" s="37">
        <v>5</v>
      </c>
      <c r="I361" s="35">
        <f>_xlfn.XLOOKUP(F361,Lists!$D$2:$D$13,Lists!$E$2:$E$13,"Not Found")</f>
        <v>85000</v>
      </c>
      <c r="J361" s="47">
        <v>0.05</v>
      </c>
      <c r="K361" s="35">
        <f>H361*I361*(1-J361)</f>
        <v>403750</v>
      </c>
      <c r="L361" s="37" t="s">
        <v>21</v>
      </c>
      <c r="M361" s="37" t="s">
        <v>22</v>
      </c>
      <c r="N361" s="4" t="str">
        <f>IF(I361=_xlfn.XLOOKUP(F361,Lists!$D$2:$D$13,Lists!$E$2:$E$13,"Not Found"),"OK","Check Price")</f>
        <v>OK</v>
      </c>
    </row>
    <row r="362" spans="1:14" ht="15.5" hidden="1" thickTop="1" thickBot="1" x14ac:dyDescent="0.4">
      <c r="A362" s="36" t="str">
        <f t="shared" si="10"/>
        <v>ORD0361</v>
      </c>
      <c r="B362" s="34">
        <v>45512</v>
      </c>
      <c r="C362" s="38" t="s">
        <v>76</v>
      </c>
      <c r="D362" s="38" t="s">
        <v>28</v>
      </c>
      <c r="E362" s="38" t="s">
        <v>29</v>
      </c>
      <c r="F362" s="38" t="s">
        <v>31</v>
      </c>
      <c r="G362" s="38" t="s">
        <v>30</v>
      </c>
      <c r="H362" s="38">
        <v>5</v>
      </c>
      <c r="I362" s="38">
        <v>85000</v>
      </c>
      <c r="J362" s="38">
        <v>0.05</v>
      </c>
      <c r="K362" s="38">
        <f t="shared" si="11"/>
        <v>403750</v>
      </c>
      <c r="L362" s="38" t="s">
        <v>21</v>
      </c>
      <c r="M362" s="38" t="s">
        <v>33</v>
      </c>
      <c r="N362" s="4" t="str">
        <f>IF(I362=_xlfn.XLOOKUP(F362,Lists!$D$2:$D$13,Lists!$E$2:$E$13,"Not Found"),"OK","Check Price")</f>
        <v>Check Price</v>
      </c>
    </row>
    <row r="363" spans="1:14" ht="15.5" thickTop="1" thickBot="1" x14ac:dyDescent="0.4">
      <c r="A363" s="36" t="str">
        <f t="shared" si="10"/>
        <v>ORD0362</v>
      </c>
      <c r="B363" s="34">
        <v>45909</v>
      </c>
      <c r="C363" s="37" t="s">
        <v>61</v>
      </c>
      <c r="D363" s="37" t="s">
        <v>28</v>
      </c>
      <c r="E363" s="37" t="s">
        <v>79</v>
      </c>
      <c r="F363" s="37" t="s">
        <v>46</v>
      </c>
      <c r="G363" s="35" t="str">
        <f>_xlfn.XLOOKUP(F363,Lists!$J$2:$J$13,Lists!$K$2:$K$13,"Not Found")</f>
        <v>Furniture</v>
      </c>
      <c r="H363" s="37">
        <v>2</v>
      </c>
      <c r="I363" s="35">
        <f>_xlfn.XLOOKUP(F363,Lists!$D$2:$D$13,Lists!$E$2:$E$13,"Not Found")</f>
        <v>22000</v>
      </c>
      <c r="J363" s="47">
        <v>0.05</v>
      </c>
      <c r="K363" s="35">
        <f>H363*I363*(1-J363)</f>
        <v>41800</v>
      </c>
      <c r="L363" s="37" t="s">
        <v>21</v>
      </c>
      <c r="M363" s="37" t="s">
        <v>33</v>
      </c>
      <c r="N363" s="4" t="str">
        <f>IF(I363=_xlfn.XLOOKUP(F363,Lists!$D$2:$D$13,Lists!$E$2:$E$13,"Not Found"),"OK","Check Price")</f>
        <v>OK</v>
      </c>
    </row>
    <row r="364" spans="1:14" ht="15.5" hidden="1" thickTop="1" thickBot="1" x14ac:dyDescent="0.4">
      <c r="A364" s="36" t="str">
        <f t="shared" si="10"/>
        <v>ORD0363</v>
      </c>
      <c r="B364" s="34">
        <v>45917</v>
      </c>
      <c r="C364" s="38" t="s">
        <v>74</v>
      </c>
      <c r="D364" s="38" t="s">
        <v>28</v>
      </c>
      <c r="E364" s="38" t="s">
        <v>119</v>
      </c>
      <c r="F364" s="38" t="s">
        <v>49</v>
      </c>
      <c r="G364" s="38" t="s">
        <v>19</v>
      </c>
      <c r="H364" s="38">
        <v>3</v>
      </c>
      <c r="I364" s="38">
        <v>22000</v>
      </c>
      <c r="J364" s="38">
        <v>0.1</v>
      </c>
      <c r="K364" s="38">
        <f t="shared" si="11"/>
        <v>59400</v>
      </c>
      <c r="L364" s="38" t="s">
        <v>37</v>
      </c>
      <c r="M364" s="38" t="s">
        <v>38</v>
      </c>
      <c r="N364" s="4" t="str">
        <f>IF(I364=_xlfn.XLOOKUP(F364,Lists!$D$2:$D$13,Lists!$E$2:$E$13,"Not Found"),"OK","Check Price")</f>
        <v>Check Price</v>
      </c>
    </row>
    <row r="365" spans="1:14" ht="15.5" hidden="1" thickTop="1" thickBot="1" x14ac:dyDescent="0.4">
      <c r="A365" s="36" t="str">
        <f t="shared" si="10"/>
        <v>ORD0364</v>
      </c>
      <c r="B365" s="34">
        <v>45875</v>
      </c>
      <c r="C365" s="37" t="s">
        <v>76</v>
      </c>
      <c r="D365" s="37" t="s">
        <v>45</v>
      </c>
      <c r="E365" s="37" t="s">
        <v>29</v>
      </c>
      <c r="F365" s="37" t="s">
        <v>58</v>
      </c>
      <c r="G365" s="37" t="s">
        <v>30</v>
      </c>
      <c r="H365" s="37">
        <v>3</v>
      </c>
      <c r="I365" s="37">
        <v>2500</v>
      </c>
      <c r="J365" s="37">
        <v>0.1</v>
      </c>
      <c r="K365" s="37">
        <f t="shared" si="11"/>
        <v>6750</v>
      </c>
      <c r="L365" s="37" t="s">
        <v>53</v>
      </c>
      <c r="M365" s="37" t="s">
        <v>22</v>
      </c>
      <c r="N365" s="4" t="str">
        <f>IF(I365=_xlfn.XLOOKUP(F365,Lists!$D$2:$D$13,Lists!$E$2:$E$13,"Not Found"),"OK","Check Price")</f>
        <v>Check Price</v>
      </c>
    </row>
    <row r="366" spans="1:14" ht="15.5" hidden="1" thickTop="1" thickBot="1" x14ac:dyDescent="0.4">
      <c r="A366" s="36" t="str">
        <f t="shared" si="10"/>
        <v>ORD0365</v>
      </c>
      <c r="B366" s="34">
        <v>45492</v>
      </c>
      <c r="C366" s="38" t="s">
        <v>66</v>
      </c>
      <c r="D366" s="38" t="s">
        <v>28</v>
      </c>
      <c r="E366" s="38" t="s">
        <v>79</v>
      </c>
      <c r="F366" s="38" t="s">
        <v>58</v>
      </c>
      <c r="G366" s="38" t="s">
        <v>30</v>
      </c>
      <c r="H366" s="38">
        <v>2</v>
      </c>
      <c r="I366" s="38">
        <v>22000</v>
      </c>
      <c r="J366" s="38">
        <v>0.05</v>
      </c>
      <c r="K366" s="38">
        <f t="shared" si="11"/>
        <v>41800</v>
      </c>
      <c r="L366" s="38" t="s">
        <v>37</v>
      </c>
      <c r="M366" s="38" t="s">
        <v>38</v>
      </c>
      <c r="N366" s="4" t="str">
        <f>IF(I366=_xlfn.XLOOKUP(F366,Lists!$D$2:$D$13,Lists!$E$2:$E$13,"Not Found"),"OK","Check Price")</f>
        <v>Check Price</v>
      </c>
    </row>
    <row r="367" spans="1:14" ht="15.5" thickTop="1" thickBot="1" x14ac:dyDescent="0.4">
      <c r="A367" s="36" t="str">
        <f t="shared" si="10"/>
        <v>ORD0366</v>
      </c>
      <c r="B367" s="34">
        <v>45975</v>
      </c>
      <c r="C367" s="37" t="s">
        <v>73</v>
      </c>
      <c r="D367" s="37" t="s">
        <v>23</v>
      </c>
      <c r="E367" s="37" t="s">
        <v>35</v>
      </c>
      <c r="F367" s="37" t="s">
        <v>46</v>
      </c>
      <c r="G367" s="35" t="str">
        <f>_xlfn.XLOOKUP(F367,Lists!$J$2:$J$13,Lists!$K$2:$K$13,"Not Found")</f>
        <v>Furniture</v>
      </c>
      <c r="H367" s="37">
        <v>3</v>
      </c>
      <c r="I367" s="35">
        <f>_xlfn.XLOOKUP(F367,Lists!$D$2:$D$13,Lists!$E$2:$E$13,"Not Found")</f>
        <v>22000</v>
      </c>
      <c r="J367" s="47">
        <v>0.05</v>
      </c>
      <c r="K367" s="35">
        <f t="shared" si="11"/>
        <v>62700</v>
      </c>
      <c r="L367" s="37" t="s">
        <v>44</v>
      </c>
      <c r="M367" s="37" t="s">
        <v>22</v>
      </c>
      <c r="N367" s="4" t="str">
        <f>IF(I367=_xlfn.XLOOKUP(F367,Lists!$D$2:$D$13,Lists!$E$2:$E$13,"Not Found"),"OK","Check Price")</f>
        <v>OK</v>
      </c>
    </row>
    <row r="368" spans="1:14" ht="15.5" thickTop="1" thickBot="1" x14ac:dyDescent="0.4">
      <c r="A368" s="36" t="str">
        <f t="shared" si="10"/>
        <v>ORD0367</v>
      </c>
      <c r="B368" s="34">
        <v>45573</v>
      </c>
      <c r="C368" s="38" t="s">
        <v>76</v>
      </c>
      <c r="D368" s="38" t="s">
        <v>48</v>
      </c>
      <c r="E368" s="38" t="s">
        <v>80</v>
      </c>
      <c r="F368" s="38" t="s">
        <v>55</v>
      </c>
      <c r="G368" s="35" t="str">
        <f>_xlfn.XLOOKUP(F368,Lists!$J$2:$J$13,Lists!$K$2:$K$13,"Not Found")</f>
        <v>Office Supplies</v>
      </c>
      <c r="H368" s="38">
        <v>8</v>
      </c>
      <c r="I368" s="35">
        <f>_xlfn.XLOOKUP(F368,Lists!$D$2:$D$13,Lists!$E$2:$E$13,"Not Found")</f>
        <v>1500</v>
      </c>
      <c r="J368" s="48">
        <v>0.05</v>
      </c>
      <c r="K368" s="35">
        <f t="shared" si="11"/>
        <v>11400</v>
      </c>
      <c r="L368" s="38" t="s">
        <v>56</v>
      </c>
      <c r="M368" s="38" t="s">
        <v>27</v>
      </c>
      <c r="N368" s="4" t="str">
        <f>IF(I368=_xlfn.XLOOKUP(F368,Lists!$D$2:$D$13,Lists!$E$2:$E$13,"Not Found"),"OK","Check Price")</f>
        <v>OK</v>
      </c>
    </row>
    <row r="369" spans="1:14" ht="15.5" hidden="1" thickTop="1" thickBot="1" x14ac:dyDescent="0.4">
      <c r="A369" s="36" t="str">
        <f t="shared" si="10"/>
        <v>ORD0368</v>
      </c>
      <c r="B369" s="34">
        <v>45346</v>
      </c>
      <c r="C369" s="37" t="s">
        <v>78</v>
      </c>
      <c r="D369" s="37" t="s">
        <v>42</v>
      </c>
      <c r="E369" s="37" t="s">
        <v>119</v>
      </c>
      <c r="F369" s="37" t="s">
        <v>57</v>
      </c>
      <c r="G369" s="37" t="s">
        <v>19</v>
      </c>
      <c r="H369" s="37">
        <v>8</v>
      </c>
      <c r="I369" s="37">
        <v>4000</v>
      </c>
      <c r="J369" s="37">
        <v>0.1</v>
      </c>
      <c r="K369" s="37">
        <f t="shared" si="11"/>
        <v>28800</v>
      </c>
      <c r="L369" s="37" t="s">
        <v>37</v>
      </c>
      <c r="M369" s="37" t="s">
        <v>27</v>
      </c>
      <c r="N369" s="4" t="str">
        <f>IF(I369=_xlfn.XLOOKUP(F369,Lists!$D$2:$D$13,Lists!$E$2:$E$13,"Not Found"),"OK","Check Price")</f>
        <v>Check Price</v>
      </c>
    </row>
    <row r="370" spans="1:14" ht="15.5" thickTop="1" thickBot="1" x14ac:dyDescent="0.4">
      <c r="A370" s="36" t="str">
        <f t="shared" si="10"/>
        <v>ORD0369</v>
      </c>
      <c r="B370" s="34">
        <v>45412</v>
      </c>
      <c r="C370" s="38" t="s">
        <v>68</v>
      </c>
      <c r="D370" s="38" t="s">
        <v>23</v>
      </c>
      <c r="E370" s="38" t="s">
        <v>119</v>
      </c>
      <c r="F370" s="38" t="s">
        <v>20</v>
      </c>
      <c r="G370" s="35" t="str">
        <f>_xlfn.XLOOKUP(F370,Lists!$J$2:$J$13,Lists!$K$2:$K$13,"Not Found")</f>
        <v>Electronics</v>
      </c>
      <c r="H370" s="38">
        <v>4</v>
      </c>
      <c r="I370" s="35">
        <f>_xlfn.XLOOKUP(F370,Lists!$D$2:$D$13,Lists!$E$2:$E$13,"Not Found")</f>
        <v>85000</v>
      </c>
      <c r="J370" s="48">
        <v>0.1</v>
      </c>
      <c r="K370" s="35">
        <f t="shared" si="11"/>
        <v>306000</v>
      </c>
      <c r="L370" s="38" t="s">
        <v>32</v>
      </c>
      <c r="M370" s="38" t="s">
        <v>33</v>
      </c>
      <c r="N370" s="4" t="str">
        <f>IF(I370=_xlfn.XLOOKUP(F370,Lists!$D$2:$D$13,Lists!$E$2:$E$13,"Not Found"),"OK","Check Price")</f>
        <v>OK</v>
      </c>
    </row>
    <row r="371" spans="1:14" ht="15.5" thickTop="1" thickBot="1" x14ac:dyDescent="0.4">
      <c r="A371" s="36" t="str">
        <f t="shared" si="10"/>
        <v>ORD0370</v>
      </c>
      <c r="B371" s="34">
        <v>45443</v>
      </c>
      <c r="C371" s="37" t="s">
        <v>59</v>
      </c>
      <c r="D371" s="37" t="s">
        <v>42</v>
      </c>
      <c r="E371" s="37" t="s">
        <v>35</v>
      </c>
      <c r="F371" s="37" t="s">
        <v>20</v>
      </c>
      <c r="G371" s="35" t="str">
        <f>_xlfn.XLOOKUP(F371,Lists!$J$2:$J$13,Lists!$K$2:$K$13,"Not Found")</f>
        <v>Electronics</v>
      </c>
      <c r="H371" s="37">
        <v>7</v>
      </c>
      <c r="I371" s="35">
        <f>_xlfn.XLOOKUP(F371,Lists!$D$2:$D$13,Lists!$E$2:$E$13,"Not Found")</f>
        <v>85000</v>
      </c>
      <c r="J371" s="47">
        <v>0.25</v>
      </c>
      <c r="K371" s="35">
        <f t="shared" si="11"/>
        <v>446250</v>
      </c>
      <c r="L371" s="37" t="s">
        <v>37</v>
      </c>
      <c r="M371" s="37" t="s">
        <v>22</v>
      </c>
      <c r="N371" s="4" t="str">
        <f>IF(I371=_xlfn.XLOOKUP(F371,Lists!$D$2:$D$13,Lists!$E$2:$E$13,"Not Found"),"OK","Check Price")</f>
        <v>OK</v>
      </c>
    </row>
    <row r="372" spans="1:14" ht="15.5" hidden="1" thickTop="1" thickBot="1" x14ac:dyDescent="0.4">
      <c r="A372" s="36" t="str">
        <f t="shared" si="10"/>
        <v>ORD0371</v>
      </c>
      <c r="B372" s="34">
        <v>45699</v>
      </c>
      <c r="C372" s="38" t="s">
        <v>66</v>
      </c>
      <c r="D372" s="38" t="s">
        <v>23</v>
      </c>
      <c r="E372" s="38" t="s">
        <v>79</v>
      </c>
      <c r="F372" s="38" t="s">
        <v>52</v>
      </c>
      <c r="G372" s="38" t="s">
        <v>19</v>
      </c>
      <c r="H372" s="38">
        <v>2</v>
      </c>
      <c r="I372" s="38">
        <v>2000</v>
      </c>
      <c r="J372" s="38">
        <v>0.15</v>
      </c>
      <c r="K372" s="38">
        <f t="shared" si="11"/>
        <v>3400</v>
      </c>
      <c r="L372" s="38" t="s">
        <v>26</v>
      </c>
      <c r="M372" s="38" t="s">
        <v>22</v>
      </c>
      <c r="N372" s="4" t="str">
        <f>IF(I372=_xlfn.XLOOKUP(F372,Lists!$D$2:$D$13,Lists!$E$2:$E$13,"Not Found"),"OK","Check Price")</f>
        <v>Check Price</v>
      </c>
    </row>
    <row r="373" spans="1:14" ht="15.5" thickTop="1" thickBot="1" x14ac:dyDescent="0.4">
      <c r="A373" s="36" t="str">
        <f t="shared" si="10"/>
        <v>ORD0372</v>
      </c>
      <c r="B373" s="34">
        <v>45561</v>
      </c>
      <c r="C373" s="37" t="s">
        <v>73</v>
      </c>
      <c r="D373" s="37" t="s">
        <v>45</v>
      </c>
      <c r="E373" s="37" t="s">
        <v>18</v>
      </c>
      <c r="F373" s="37" t="s">
        <v>55</v>
      </c>
      <c r="G373" s="35" t="str">
        <f>_xlfn.XLOOKUP(F373,Lists!$J$2:$J$13,Lists!$K$2:$K$13,"Not Found")</f>
        <v>Office Supplies</v>
      </c>
      <c r="H373" s="37">
        <v>4</v>
      </c>
      <c r="I373" s="35">
        <f>_xlfn.XLOOKUP(F373,Lists!$D$2:$D$13,Lists!$E$2:$E$13,"Not Found")</f>
        <v>1500</v>
      </c>
      <c r="J373" s="47">
        <v>0.15</v>
      </c>
      <c r="K373" s="35">
        <f>H373*I373*(1-J373)</f>
        <v>5100</v>
      </c>
      <c r="L373" s="37" t="s">
        <v>26</v>
      </c>
      <c r="M373" s="37" t="s">
        <v>33</v>
      </c>
      <c r="N373" s="4" t="str">
        <f>IF(I373=_xlfn.XLOOKUP(F373,Lists!$D$2:$D$13,Lists!$E$2:$E$13,"Not Found"),"OK","Check Price")</f>
        <v>OK</v>
      </c>
    </row>
    <row r="374" spans="1:14" ht="15.5" hidden="1" thickTop="1" thickBot="1" x14ac:dyDescent="0.4">
      <c r="A374" s="36" t="str">
        <f t="shared" si="10"/>
        <v>ORD0373</v>
      </c>
      <c r="B374" s="34">
        <v>45338</v>
      </c>
      <c r="C374" s="38" t="s">
        <v>62</v>
      </c>
      <c r="D374" s="38" t="s">
        <v>17</v>
      </c>
      <c r="E374" s="38" t="s">
        <v>35</v>
      </c>
      <c r="F374" s="38" t="s">
        <v>31</v>
      </c>
      <c r="G374" s="38" t="s">
        <v>19</v>
      </c>
      <c r="H374" s="38">
        <v>2</v>
      </c>
      <c r="I374" s="38">
        <v>1200</v>
      </c>
      <c r="J374" s="38">
        <v>0.05</v>
      </c>
      <c r="K374" s="38">
        <f t="shared" si="11"/>
        <v>2280</v>
      </c>
      <c r="L374" s="38" t="s">
        <v>53</v>
      </c>
      <c r="M374" s="38" t="s">
        <v>38</v>
      </c>
      <c r="N374" s="4" t="str">
        <f>IF(I374=_xlfn.XLOOKUP(F374,Lists!$D$2:$D$13,Lists!$E$2:$E$13,"Not Found"),"OK","Check Price")</f>
        <v>Check Price</v>
      </c>
    </row>
    <row r="375" spans="1:14" ht="15.5" thickTop="1" thickBot="1" x14ac:dyDescent="0.4">
      <c r="A375" s="36" t="str">
        <f t="shared" si="10"/>
        <v>ORD0374</v>
      </c>
      <c r="B375" s="34">
        <v>45804</v>
      </c>
      <c r="C375" s="37" t="s">
        <v>70</v>
      </c>
      <c r="D375" s="37" t="s">
        <v>51</v>
      </c>
      <c r="E375" s="37" t="s">
        <v>80</v>
      </c>
      <c r="F375" s="37" t="s">
        <v>46</v>
      </c>
      <c r="G375" s="35" t="str">
        <f>_xlfn.XLOOKUP(F375,Lists!$J$2:$J$13,Lists!$K$2:$K$13,"Not Found")</f>
        <v>Furniture</v>
      </c>
      <c r="H375" s="37">
        <v>6</v>
      </c>
      <c r="I375" s="35">
        <f>_xlfn.XLOOKUP(F375,Lists!$D$2:$D$13,Lists!$E$2:$E$13,"Not Found")</f>
        <v>22000</v>
      </c>
      <c r="J375" s="47">
        <v>0.25</v>
      </c>
      <c r="K375" s="35">
        <f>H375*I375*(1-J375)</f>
        <v>99000</v>
      </c>
      <c r="L375" s="37" t="s">
        <v>26</v>
      </c>
      <c r="M375" s="37" t="s">
        <v>22</v>
      </c>
      <c r="N375" s="4" t="str">
        <f>IF(I375=_xlfn.XLOOKUP(F375,Lists!$D$2:$D$13,Lists!$E$2:$E$13,"Not Found"),"OK","Check Price")</f>
        <v>OK</v>
      </c>
    </row>
    <row r="376" spans="1:14" ht="15.5" hidden="1" thickTop="1" thickBot="1" x14ac:dyDescent="0.4">
      <c r="A376" s="36" t="str">
        <f t="shared" si="10"/>
        <v>ORD0375</v>
      </c>
      <c r="B376" s="34">
        <v>45684</v>
      </c>
      <c r="C376" s="38" t="s">
        <v>69</v>
      </c>
      <c r="D376" s="38" t="s">
        <v>34</v>
      </c>
      <c r="E376" s="38" t="s">
        <v>29</v>
      </c>
      <c r="F376" s="38" t="s">
        <v>49</v>
      </c>
      <c r="G376" s="38" t="s">
        <v>24</v>
      </c>
      <c r="H376" s="38">
        <v>1</v>
      </c>
      <c r="I376" s="38">
        <v>5000</v>
      </c>
      <c r="J376" s="38">
        <v>0.05</v>
      </c>
      <c r="K376" s="38">
        <f t="shared" si="11"/>
        <v>4750</v>
      </c>
      <c r="L376" s="38" t="s">
        <v>53</v>
      </c>
      <c r="M376" s="38" t="s">
        <v>33</v>
      </c>
      <c r="N376" s="4" t="str">
        <f>IF(I376=_xlfn.XLOOKUP(F376,Lists!$D$2:$D$13,Lists!$E$2:$E$13,"Not Found"),"OK","Check Price")</f>
        <v>Check Price</v>
      </c>
    </row>
    <row r="377" spans="1:14" ht="15.5" thickTop="1" thickBot="1" x14ac:dyDescent="0.4">
      <c r="A377" s="36" t="str">
        <f t="shared" si="10"/>
        <v>ORD0376</v>
      </c>
      <c r="B377" s="34">
        <v>45567</v>
      </c>
      <c r="C377" s="37" t="s">
        <v>67</v>
      </c>
      <c r="D377" s="37" t="s">
        <v>34</v>
      </c>
      <c r="E377" s="37" t="s">
        <v>79</v>
      </c>
      <c r="F377" s="37" t="s">
        <v>46</v>
      </c>
      <c r="G377" s="35" t="str">
        <f>_xlfn.XLOOKUP(F377,Lists!$J$2:$J$13,Lists!$K$2:$K$13,"Not Found")</f>
        <v>Furniture</v>
      </c>
      <c r="H377" s="37">
        <v>8</v>
      </c>
      <c r="I377" s="35">
        <f>_xlfn.XLOOKUP(F377,Lists!$D$2:$D$13,Lists!$E$2:$E$13,"Not Found")</f>
        <v>22000</v>
      </c>
      <c r="J377" s="47">
        <v>0.15</v>
      </c>
      <c r="K377" s="35">
        <f t="shared" si="11"/>
        <v>149600</v>
      </c>
      <c r="L377" s="37" t="s">
        <v>47</v>
      </c>
      <c r="M377" s="37" t="s">
        <v>27</v>
      </c>
      <c r="N377" s="4" t="str">
        <f>IF(I377=_xlfn.XLOOKUP(F377,Lists!$D$2:$D$13,Lists!$E$2:$E$13,"Not Found"),"OK","Check Price")</f>
        <v>OK</v>
      </c>
    </row>
    <row r="378" spans="1:14" ht="15.5" thickTop="1" thickBot="1" x14ac:dyDescent="0.4">
      <c r="A378" s="36" t="str">
        <f t="shared" si="10"/>
        <v>ORD0377</v>
      </c>
      <c r="B378" s="34">
        <v>45369</v>
      </c>
      <c r="C378" s="38" t="s">
        <v>65</v>
      </c>
      <c r="D378" s="38" t="s">
        <v>34</v>
      </c>
      <c r="E378" s="38" t="s">
        <v>18</v>
      </c>
      <c r="F378" s="38" t="s">
        <v>46</v>
      </c>
      <c r="G378" s="35" t="str">
        <f>_xlfn.XLOOKUP(F378,Lists!$J$2:$J$13,Lists!$K$2:$K$13,"Not Found")</f>
        <v>Furniture</v>
      </c>
      <c r="H378" s="38">
        <v>10</v>
      </c>
      <c r="I378" s="35">
        <f>_xlfn.XLOOKUP(F378,Lists!$D$2:$D$13,Lists!$E$2:$E$13,"Not Found")</f>
        <v>22000</v>
      </c>
      <c r="J378" s="48">
        <v>0.1</v>
      </c>
      <c r="K378" s="35">
        <f t="shared" si="11"/>
        <v>198000</v>
      </c>
      <c r="L378" s="38" t="s">
        <v>26</v>
      </c>
      <c r="M378" s="38" t="s">
        <v>27</v>
      </c>
      <c r="N378" s="4" t="str">
        <f>IF(I378=_xlfn.XLOOKUP(F378,Lists!$D$2:$D$13,Lists!$E$2:$E$13,"Not Found"),"OK","Check Price")</f>
        <v>OK</v>
      </c>
    </row>
    <row r="379" spans="1:14" ht="15.5" hidden="1" thickTop="1" thickBot="1" x14ac:dyDescent="0.4">
      <c r="A379" s="36" t="str">
        <f t="shared" si="10"/>
        <v>ORD0378</v>
      </c>
      <c r="B379" s="34">
        <v>45504</v>
      </c>
      <c r="C379" s="37" t="s">
        <v>70</v>
      </c>
      <c r="D379" s="37" t="s">
        <v>34</v>
      </c>
      <c r="E379" s="37" t="s">
        <v>79</v>
      </c>
      <c r="F379" s="37" t="s">
        <v>36</v>
      </c>
      <c r="G379" s="37" t="s">
        <v>19</v>
      </c>
      <c r="H379" s="37">
        <v>10</v>
      </c>
      <c r="I379" s="37">
        <v>2500</v>
      </c>
      <c r="J379" s="37">
        <v>0.15</v>
      </c>
      <c r="K379" s="37">
        <f t="shared" si="11"/>
        <v>21250</v>
      </c>
      <c r="L379" s="37" t="s">
        <v>47</v>
      </c>
      <c r="M379" s="37" t="s">
        <v>38</v>
      </c>
      <c r="N379" s="4" t="str">
        <f>IF(I379=_xlfn.XLOOKUP(F379,Lists!$D$2:$D$13,Lists!$E$2:$E$13,"Not Found"),"OK","Check Price")</f>
        <v>OK</v>
      </c>
    </row>
    <row r="380" spans="1:14" ht="15.5" hidden="1" thickTop="1" thickBot="1" x14ac:dyDescent="0.4">
      <c r="A380" s="36" t="str">
        <f t="shared" si="10"/>
        <v>ORD0379</v>
      </c>
      <c r="B380" s="34">
        <v>45684</v>
      </c>
      <c r="C380" s="38" t="s">
        <v>67</v>
      </c>
      <c r="D380" s="38" t="s">
        <v>39</v>
      </c>
      <c r="E380" s="38" t="s">
        <v>119</v>
      </c>
      <c r="F380" s="38" t="s">
        <v>40</v>
      </c>
      <c r="G380" s="38" t="s">
        <v>24</v>
      </c>
      <c r="H380" s="38">
        <v>7</v>
      </c>
      <c r="I380" s="38">
        <v>30000</v>
      </c>
      <c r="J380" s="38">
        <v>0.05</v>
      </c>
      <c r="K380" s="38">
        <f t="shared" si="11"/>
        <v>199500</v>
      </c>
      <c r="L380" s="38" t="s">
        <v>37</v>
      </c>
      <c r="M380" s="38" t="s">
        <v>22</v>
      </c>
      <c r="N380" s="4" t="str">
        <f>IF(I380=_xlfn.XLOOKUP(F380,Lists!$D$2:$D$13,Lists!$E$2:$E$13,"Not Found"),"OK","Check Price")</f>
        <v>Check Price</v>
      </c>
    </row>
    <row r="381" spans="1:14" ht="15.5" hidden="1" thickTop="1" thickBot="1" x14ac:dyDescent="0.4">
      <c r="A381" s="36" t="str">
        <f t="shared" si="10"/>
        <v>ORD0380</v>
      </c>
      <c r="B381" s="34">
        <v>45665</v>
      </c>
      <c r="C381" s="37" t="s">
        <v>64</v>
      </c>
      <c r="D381" s="37" t="s">
        <v>39</v>
      </c>
      <c r="E381" s="37" t="s">
        <v>29</v>
      </c>
      <c r="F381" s="37" t="s">
        <v>58</v>
      </c>
      <c r="G381" s="37" t="s">
        <v>19</v>
      </c>
      <c r="H381" s="37">
        <v>9</v>
      </c>
      <c r="I381" s="37">
        <v>85000</v>
      </c>
      <c r="J381" s="37">
        <v>0.05</v>
      </c>
      <c r="K381" s="37">
        <f t="shared" si="11"/>
        <v>726750</v>
      </c>
      <c r="L381" s="37" t="s">
        <v>32</v>
      </c>
      <c r="M381" s="37" t="s">
        <v>33</v>
      </c>
      <c r="N381" s="4" t="str">
        <f>IF(I381=_xlfn.XLOOKUP(F381,Lists!$D$2:$D$13,Lists!$E$2:$E$13,"Not Found"),"OK","Check Price")</f>
        <v>Check Price</v>
      </c>
    </row>
    <row r="382" spans="1:14" ht="15.5" thickTop="1" thickBot="1" x14ac:dyDescent="0.4">
      <c r="A382" s="36" t="str">
        <f t="shared" si="10"/>
        <v>ORD0381</v>
      </c>
      <c r="B382" s="34">
        <v>46018</v>
      </c>
      <c r="C382" s="38" t="s">
        <v>66</v>
      </c>
      <c r="D382" s="38" t="s">
        <v>34</v>
      </c>
      <c r="E382" s="38" t="s">
        <v>18</v>
      </c>
      <c r="F382" s="38" t="s">
        <v>46</v>
      </c>
      <c r="G382" s="35" t="str">
        <f>_xlfn.XLOOKUP(F382,Lists!$J$2:$J$13,Lists!$K$2:$K$13,"Not Found")</f>
        <v>Furniture</v>
      </c>
      <c r="H382" s="38">
        <v>9</v>
      </c>
      <c r="I382" s="35">
        <f>_xlfn.XLOOKUP(F382,Lists!$D$2:$D$13,Lists!$E$2:$E$13,"Not Found")</f>
        <v>22000</v>
      </c>
      <c r="J382" s="48">
        <v>0.15</v>
      </c>
      <c r="K382" s="35">
        <f>H382*I382*(1-J382)</f>
        <v>168300</v>
      </c>
      <c r="L382" s="38" t="s">
        <v>44</v>
      </c>
      <c r="M382" s="38" t="s">
        <v>38</v>
      </c>
      <c r="N382" s="4" t="str">
        <f>IF(I382=_xlfn.XLOOKUP(F382,Lists!$D$2:$D$13,Lists!$E$2:$E$13,"Not Found"),"OK","Check Price")</f>
        <v>OK</v>
      </c>
    </row>
    <row r="383" spans="1:14" ht="15.5" hidden="1" thickTop="1" thickBot="1" x14ac:dyDescent="0.4">
      <c r="A383" s="36" t="str">
        <f t="shared" si="10"/>
        <v>ORD0382</v>
      </c>
      <c r="B383" s="34">
        <v>45357</v>
      </c>
      <c r="C383" s="37" t="s">
        <v>59</v>
      </c>
      <c r="D383" s="37" t="s">
        <v>48</v>
      </c>
      <c r="E383" s="37" t="s">
        <v>79</v>
      </c>
      <c r="F383" s="37" t="s">
        <v>58</v>
      </c>
      <c r="G383" s="37" t="s">
        <v>19</v>
      </c>
      <c r="H383" s="37">
        <v>6</v>
      </c>
      <c r="I383" s="37">
        <v>28000</v>
      </c>
      <c r="J383" s="37">
        <v>0.2</v>
      </c>
      <c r="K383" s="37">
        <f t="shared" si="11"/>
        <v>134400</v>
      </c>
      <c r="L383" s="37" t="s">
        <v>53</v>
      </c>
      <c r="M383" s="37" t="s">
        <v>22</v>
      </c>
      <c r="N383" s="4" t="str">
        <f>IF(I383=_xlfn.XLOOKUP(F383,Lists!$D$2:$D$13,Lists!$E$2:$E$13,"Not Found"),"OK","Check Price")</f>
        <v>Check Price</v>
      </c>
    </row>
    <row r="384" spans="1:14" ht="15.5" thickTop="1" thickBot="1" x14ac:dyDescent="0.4">
      <c r="A384" s="36" t="str">
        <f t="shared" si="10"/>
        <v>ORD0383</v>
      </c>
      <c r="B384" s="34">
        <v>45408</v>
      </c>
      <c r="C384" s="38" t="s">
        <v>72</v>
      </c>
      <c r="D384" s="38" t="s">
        <v>34</v>
      </c>
      <c r="E384" s="38" t="s">
        <v>79</v>
      </c>
      <c r="F384" s="38" t="s">
        <v>20</v>
      </c>
      <c r="G384" s="35" t="str">
        <f>_xlfn.XLOOKUP(F384,Lists!$J$2:$J$13,Lists!$K$2:$K$13,"Not Found")</f>
        <v>Electronics</v>
      </c>
      <c r="H384" s="38">
        <v>3</v>
      </c>
      <c r="I384" s="35">
        <f>_xlfn.XLOOKUP(F384,Lists!$D$2:$D$13,Lists!$E$2:$E$13,"Not Found")</f>
        <v>85000</v>
      </c>
      <c r="J384" s="48">
        <v>0.05</v>
      </c>
      <c r="K384" s="35">
        <f>H384*I384*(1-J384)</f>
        <v>242250</v>
      </c>
      <c r="L384" s="38" t="s">
        <v>26</v>
      </c>
      <c r="M384" s="38" t="s">
        <v>22</v>
      </c>
      <c r="N384" s="4" t="str">
        <f>IF(I384=_xlfn.XLOOKUP(F384,Lists!$D$2:$D$13,Lists!$E$2:$E$13,"Not Found"),"OK","Check Price")</f>
        <v>OK</v>
      </c>
    </row>
    <row r="385" spans="1:14" ht="15.5" hidden="1" thickTop="1" thickBot="1" x14ac:dyDescent="0.4">
      <c r="A385" s="36" t="str">
        <f t="shared" si="10"/>
        <v>ORD0384</v>
      </c>
      <c r="B385" s="34">
        <v>45510</v>
      </c>
      <c r="C385" s="37" t="s">
        <v>60</v>
      </c>
      <c r="D385" s="37" t="s">
        <v>23</v>
      </c>
      <c r="E385" s="37" t="s">
        <v>35</v>
      </c>
      <c r="F385" s="37" t="s">
        <v>36</v>
      </c>
      <c r="G385" s="37" t="s">
        <v>24</v>
      </c>
      <c r="H385" s="37">
        <v>9</v>
      </c>
      <c r="I385" s="37">
        <v>22000</v>
      </c>
      <c r="J385" s="37">
        <v>0.15</v>
      </c>
      <c r="K385" s="37">
        <f t="shared" si="11"/>
        <v>168300</v>
      </c>
      <c r="L385" s="37" t="s">
        <v>47</v>
      </c>
      <c r="M385" s="37" t="s">
        <v>38</v>
      </c>
      <c r="N385" s="4" t="str">
        <f>IF(I385=_xlfn.XLOOKUP(F385,Lists!$D$2:$D$13,Lists!$E$2:$E$13,"Not Found"),"OK","Check Price")</f>
        <v>Check Price</v>
      </c>
    </row>
    <row r="386" spans="1:14" ht="15.5" hidden="1" thickTop="1" thickBot="1" x14ac:dyDescent="0.4">
      <c r="A386" s="36" t="str">
        <f t="shared" si="10"/>
        <v>ORD0385</v>
      </c>
      <c r="B386" s="34">
        <v>45746</v>
      </c>
      <c r="C386" s="38" t="s">
        <v>60</v>
      </c>
      <c r="D386" s="38" t="s">
        <v>23</v>
      </c>
      <c r="E386" s="38" t="s">
        <v>18</v>
      </c>
      <c r="F386" s="38" t="s">
        <v>58</v>
      </c>
      <c r="G386" s="38" t="s">
        <v>19</v>
      </c>
      <c r="H386" s="38">
        <v>8</v>
      </c>
      <c r="I386" s="38">
        <v>4000</v>
      </c>
      <c r="J386" s="38">
        <v>0.05</v>
      </c>
      <c r="K386" s="38">
        <f t="shared" si="11"/>
        <v>30400</v>
      </c>
      <c r="L386" s="38" t="s">
        <v>37</v>
      </c>
      <c r="M386" s="38" t="s">
        <v>33</v>
      </c>
      <c r="N386" s="4" t="str">
        <f>IF(I386=_xlfn.XLOOKUP(F386,Lists!$D$2:$D$13,Lists!$E$2:$E$13,"Not Found"),"OK","Check Price")</f>
        <v>Check Price</v>
      </c>
    </row>
    <row r="387" spans="1:14" ht="15.5" hidden="1" thickTop="1" thickBot="1" x14ac:dyDescent="0.4">
      <c r="A387" s="36" t="str">
        <f t="shared" ref="A387:A450" si="12">"ORD"&amp;TEXT(ROW()-1,"0000")</f>
        <v>ORD0386</v>
      </c>
      <c r="B387" s="34">
        <v>45508</v>
      </c>
      <c r="C387" s="37" t="s">
        <v>69</v>
      </c>
      <c r="D387" s="37" t="s">
        <v>39</v>
      </c>
      <c r="E387" s="37" t="s">
        <v>79</v>
      </c>
      <c r="F387" s="37" t="s">
        <v>25</v>
      </c>
      <c r="G387" s="37" t="s">
        <v>19</v>
      </c>
      <c r="H387" s="37">
        <v>10</v>
      </c>
      <c r="I387" s="37">
        <v>2000</v>
      </c>
      <c r="J387" s="37">
        <v>0.05</v>
      </c>
      <c r="K387" s="37">
        <f t="shared" ref="K387:K450" si="13">H387*I387*(1-J387)</f>
        <v>19000</v>
      </c>
      <c r="L387" s="37" t="s">
        <v>37</v>
      </c>
      <c r="M387" s="37" t="s">
        <v>33</v>
      </c>
      <c r="N387" s="4" t="str">
        <f>IF(I387=_xlfn.XLOOKUP(F387,Lists!$D$2:$D$13,Lists!$E$2:$E$13,"Not Found"),"OK","Check Price")</f>
        <v>Check Price</v>
      </c>
    </row>
    <row r="388" spans="1:14" ht="15.5" thickTop="1" thickBot="1" x14ac:dyDescent="0.4">
      <c r="A388" s="36" t="str">
        <f t="shared" si="12"/>
        <v>ORD0387</v>
      </c>
      <c r="B388" s="34">
        <v>45421</v>
      </c>
      <c r="C388" s="38" t="s">
        <v>76</v>
      </c>
      <c r="D388" s="38" t="s">
        <v>39</v>
      </c>
      <c r="E388" s="38" t="s">
        <v>18</v>
      </c>
      <c r="F388" s="38" t="s">
        <v>20</v>
      </c>
      <c r="G388" s="35" t="str">
        <f>_xlfn.XLOOKUP(F388,Lists!$J$2:$J$13,Lists!$K$2:$K$13,"Not Found")</f>
        <v>Electronics</v>
      </c>
      <c r="H388" s="38">
        <v>6</v>
      </c>
      <c r="I388" s="35">
        <f>_xlfn.XLOOKUP(F388,Lists!$D$2:$D$13,Lists!$E$2:$E$13,"Not Found")</f>
        <v>85000</v>
      </c>
      <c r="J388" s="48">
        <v>0.15</v>
      </c>
      <c r="K388" s="35">
        <f>H388*I388*(1-J388)</f>
        <v>433500</v>
      </c>
      <c r="L388" s="38" t="s">
        <v>56</v>
      </c>
      <c r="M388" s="38" t="s">
        <v>27</v>
      </c>
      <c r="N388" s="4" t="str">
        <f>IF(I388=_xlfn.XLOOKUP(F388,Lists!$D$2:$D$13,Lists!$E$2:$E$13,"Not Found"),"OK","Check Price")</f>
        <v>OK</v>
      </c>
    </row>
    <row r="389" spans="1:14" ht="15.5" hidden="1" thickTop="1" thickBot="1" x14ac:dyDescent="0.4">
      <c r="A389" s="36" t="str">
        <f t="shared" si="12"/>
        <v>ORD0388</v>
      </c>
      <c r="B389" s="34">
        <v>45500</v>
      </c>
      <c r="C389" s="37" t="s">
        <v>64</v>
      </c>
      <c r="D389" s="37" t="s">
        <v>54</v>
      </c>
      <c r="E389" s="37" t="s">
        <v>18</v>
      </c>
      <c r="F389" s="37" t="s">
        <v>57</v>
      </c>
      <c r="G389" s="37" t="s">
        <v>30</v>
      </c>
      <c r="H389" s="37">
        <v>3</v>
      </c>
      <c r="I389" s="37">
        <v>1200</v>
      </c>
      <c r="J389" s="37">
        <v>0.05</v>
      </c>
      <c r="K389" s="37">
        <f t="shared" si="13"/>
        <v>3420</v>
      </c>
      <c r="L389" s="37" t="s">
        <v>26</v>
      </c>
      <c r="M389" s="37" t="s">
        <v>38</v>
      </c>
      <c r="N389" s="4" t="str">
        <f>IF(I389=_xlfn.XLOOKUP(F389,Lists!$D$2:$D$13,Lists!$E$2:$E$13,"Not Found"),"OK","Check Price")</f>
        <v>Check Price</v>
      </c>
    </row>
    <row r="390" spans="1:14" ht="15.5" thickTop="1" thickBot="1" x14ac:dyDescent="0.4">
      <c r="A390" s="36" t="str">
        <f t="shared" si="12"/>
        <v>ORD0389</v>
      </c>
      <c r="B390" s="34">
        <v>45384</v>
      </c>
      <c r="C390" s="38" t="s">
        <v>66</v>
      </c>
      <c r="D390" s="38" t="s">
        <v>54</v>
      </c>
      <c r="E390" s="38" t="s">
        <v>80</v>
      </c>
      <c r="F390" s="38" t="s">
        <v>46</v>
      </c>
      <c r="G390" s="35" t="str">
        <f>_xlfn.XLOOKUP(F390,Lists!$J$2:$J$13,Lists!$K$2:$K$13,"Not Found")</f>
        <v>Furniture</v>
      </c>
      <c r="H390" s="38">
        <v>4</v>
      </c>
      <c r="I390" s="35">
        <f>_xlfn.XLOOKUP(F390,Lists!$D$2:$D$13,Lists!$E$2:$E$13,"Not Found")</f>
        <v>22000</v>
      </c>
      <c r="J390" s="48">
        <v>0.1</v>
      </c>
      <c r="K390" s="35">
        <f>H390*I390*(1-J390)</f>
        <v>79200</v>
      </c>
      <c r="L390" s="38" t="s">
        <v>53</v>
      </c>
      <c r="M390" s="38" t="s">
        <v>27</v>
      </c>
      <c r="N390" s="4" t="str">
        <f>IF(I390=_xlfn.XLOOKUP(F390,Lists!$D$2:$D$13,Lists!$E$2:$E$13,"Not Found"),"OK","Check Price")</f>
        <v>OK</v>
      </c>
    </row>
    <row r="391" spans="1:14" ht="15.5" hidden="1" thickTop="1" thickBot="1" x14ac:dyDescent="0.4">
      <c r="A391" s="36" t="str">
        <f t="shared" si="12"/>
        <v>ORD0390</v>
      </c>
      <c r="B391" s="34">
        <v>45519</v>
      </c>
      <c r="C391" s="37" t="s">
        <v>69</v>
      </c>
      <c r="D391" s="37" t="s">
        <v>45</v>
      </c>
      <c r="E391" s="37" t="s">
        <v>80</v>
      </c>
      <c r="F391" s="37" t="s">
        <v>58</v>
      </c>
      <c r="G391" s="37" t="s">
        <v>30</v>
      </c>
      <c r="H391" s="37">
        <v>3</v>
      </c>
      <c r="I391" s="37">
        <v>28000</v>
      </c>
      <c r="J391" s="37">
        <v>0.05</v>
      </c>
      <c r="K391" s="37">
        <f t="shared" si="13"/>
        <v>79800</v>
      </c>
      <c r="L391" s="37" t="s">
        <v>41</v>
      </c>
      <c r="M391" s="37" t="s">
        <v>33</v>
      </c>
      <c r="N391" s="4" t="str">
        <f>IF(I391=_xlfn.XLOOKUP(F391,Lists!$D$2:$D$13,Lists!$E$2:$E$13,"Not Found"),"OK","Check Price")</f>
        <v>Check Price</v>
      </c>
    </row>
    <row r="392" spans="1:14" ht="15.5" hidden="1" thickTop="1" thickBot="1" x14ac:dyDescent="0.4">
      <c r="A392" s="36" t="str">
        <f t="shared" si="12"/>
        <v>ORD0391</v>
      </c>
      <c r="B392" s="34">
        <v>45762</v>
      </c>
      <c r="C392" s="38" t="s">
        <v>72</v>
      </c>
      <c r="D392" s="38" t="s">
        <v>17</v>
      </c>
      <c r="E392" s="38" t="s">
        <v>18</v>
      </c>
      <c r="F392" s="38" t="s">
        <v>31</v>
      </c>
      <c r="G392" s="38" t="s">
        <v>30</v>
      </c>
      <c r="H392" s="38">
        <v>2</v>
      </c>
      <c r="I392" s="38">
        <v>1500</v>
      </c>
      <c r="J392" s="38">
        <v>0.2</v>
      </c>
      <c r="K392" s="38">
        <f t="shared" si="13"/>
        <v>2400</v>
      </c>
      <c r="L392" s="38" t="s">
        <v>37</v>
      </c>
      <c r="M392" s="38" t="s">
        <v>27</v>
      </c>
      <c r="N392" s="4" t="str">
        <f>IF(I392=_xlfn.XLOOKUP(F392,Lists!$D$2:$D$13,Lists!$E$2:$E$13,"Not Found"),"OK","Check Price")</f>
        <v>Check Price</v>
      </c>
    </row>
    <row r="393" spans="1:14" ht="15.5" hidden="1" thickTop="1" thickBot="1" x14ac:dyDescent="0.4">
      <c r="A393" s="36" t="str">
        <f t="shared" si="12"/>
        <v>ORD0392</v>
      </c>
      <c r="B393" s="34">
        <v>45356</v>
      </c>
      <c r="C393" s="37" t="s">
        <v>70</v>
      </c>
      <c r="D393" s="37" t="s">
        <v>34</v>
      </c>
      <c r="E393" s="37" t="s">
        <v>29</v>
      </c>
      <c r="F393" s="37" t="s">
        <v>52</v>
      </c>
      <c r="G393" s="37" t="s">
        <v>19</v>
      </c>
      <c r="H393" s="37">
        <v>5</v>
      </c>
      <c r="I393" s="37">
        <v>12000</v>
      </c>
      <c r="J393" s="37">
        <v>0.15</v>
      </c>
      <c r="K393" s="37">
        <f t="shared" si="13"/>
        <v>51000</v>
      </c>
      <c r="L393" s="37" t="s">
        <v>26</v>
      </c>
      <c r="M393" s="37" t="s">
        <v>33</v>
      </c>
      <c r="N393" s="4" t="str">
        <f>IF(I393=_xlfn.XLOOKUP(F393,Lists!$D$2:$D$13,Lists!$E$2:$E$13,"Not Found"),"OK","Check Price")</f>
        <v>Check Price</v>
      </c>
    </row>
    <row r="394" spans="1:14" ht="15.5" hidden="1" thickTop="1" thickBot="1" x14ac:dyDescent="0.4">
      <c r="A394" s="36" t="str">
        <f t="shared" si="12"/>
        <v>ORD0393</v>
      </c>
      <c r="B394" s="34">
        <v>45606</v>
      </c>
      <c r="C394" s="38" t="s">
        <v>77</v>
      </c>
      <c r="D394" s="38" t="s">
        <v>51</v>
      </c>
      <c r="E394" s="38" t="s">
        <v>18</v>
      </c>
      <c r="F394" s="38" t="s">
        <v>36</v>
      </c>
      <c r="G394" s="38" t="s">
        <v>24</v>
      </c>
      <c r="H394" s="38">
        <v>4</v>
      </c>
      <c r="I394" s="38">
        <v>4000</v>
      </c>
      <c r="J394" s="38">
        <v>0.05</v>
      </c>
      <c r="K394" s="38">
        <f t="shared" si="13"/>
        <v>15200</v>
      </c>
      <c r="L394" s="38" t="s">
        <v>32</v>
      </c>
      <c r="M394" s="38" t="s">
        <v>27</v>
      </c>
      <c r="N394" s="4" t="str">
        <f>IF(I394=_xlfn.XLOOKUP(F394,Lists!$D$2:$D$13,Lists!$E$2:$E$13,"Not Found"),"OK","Check Price")</f>
        <v>Check Price</v>
      </c>
    </row>
    <row r="395" spans="1:14" ht="15.5" hidden="1" thickTop="1" thickBot="1" x14ac:dyDescent="0.4">
      <c r="A395" s="36" t="str">
        <f t="shared" si="12"/>
        <v>ORD0394</v>
      </c>
      <c r="B395" s="34">
        <v>45966</v>
      </c>
      <c r="C395" s="37" t="s">
        <v>68</v>
      </c>
      <c r="D395" s="37" t="s">
        <v>42</v>
      </c>
      <c r="E395" s="37" t="s">
        <v>119</v>
      </c>
      <c r="F395" s="37" t="s">
        <v>25</v>
      </c>
      <c r="G395" s="37" t="s">
        <v>19</v>
      </c>
      <c r="H395" s="37">
        <v>2</v>
      </c>
      <c r="I395" s="37">
        <v>22000</v>
      </c>
      <c r="J395" s="37">
        <v>0.2</v>
      </c>
      <c r="K395" s="37">
        <f t="shared" si="13"/>
        <v>35200</v>
      </c>
      <c r="L395" s="37" t="s">
        <v>53</v>
      </c>
      <c r="M395" s="37" t="s">
        <v>22</v>
      </c>
      <c r="N395" s="4" t="str">
        <f>IF(I395=_xlfn.XLOOKUP(F395,Lists!$D$2:$D$13,Lists!$E$2:$E$13,"Not Found"),"OK","Check Price")</f>
        <v>Check Price</v>
      </c>
    </row>
    <row r="396" spans="1:14" ht="15.5" hidden="1" thickTop="1" thickBot="1" x14ac:dyDescent="0.4">
      <c r="A396" s="36" t="str">
        <f t="shared" si="12"/>
        <v>ORD0395</v>
      </c>
      <c r="B396" s="34">
        <v>45884</v>
      </c>
      <c r="C396" s="38" t="s">
        <v>62</v>
      </c>
      <c r="D396" s="38" t="s">
        <v>51</v>
      </c>
      <c r="E396" s="38" t="s">
        <v>35</v>
      </c>
      <c r="F396" s="38" t="s">
        <v>43</v>
      </c>
      <c r="G396" s="38" t="s">
        <v>30</v>
      </c>
      <c r="H396" s="38">
        <v>2</v>
      </c>
      <c r="I396" s="38">
        <v>1200</v>
      </c>
      <c r="J396" s="38">
        <v>0.15</v>
      </c>
      <c r="K396" s="38">
        <f t="shared" si="13"/>
        <v>2040</v>
      </c>
      <c r="L396" s="38" t="s">
        <v>37</v>
      </c>
      <c r="M396" s="38" t="s">
        <v>27</v>
      </c>
      <c r="N396" s="4" t="str">
        <f>IF(I396=_xlfn.XLOOKUP(F396,Lists!$D$2:$D$13,Lists!$E$2:$E$13,"Not Found"),"OK","Check Price")</f>
        <v>Check Price</v>
      </c>
    </row>
    <row r="397" spans="1:14" ht="15.5" hidden="1" thickTop="1" thickBot="1" x14ac:dyDescent="0.4">
      <c r="A397" s="36" t="str">
        <f t="shared" si="12"/>
        <v>ORD0396</v>
      </c>
      <c r="B397" s="34">
        <v>45394</v>
      </c>
      <c r="C397" s="37" t="s">
        <v>69</v>
      </c>
      <c r="D397" s="37" t="s">
        <v>48</v>
      </c>
      <c r="E397" s="37" t="s">
        <v>35</v>
      </c>
      <c r="F397" s="37" t="s">
        <v>52</v>
      </c>
      <c r="G397" s="37" t="s">
        <v>30</v>
      </c>
      <c r="H397" s="37">
        <v>10</v>
      </c>
      <c r="I397" s="37">
        <v>1500</v>
      </c>
      <c r="J397" s="37">
        <v>0.1</v>
      </c>
      <c r="K397" s="37">
        <f t="shared" si="13"/>
        <v>13500</v>
      </c>
      <c r="L397" s="37" t="s">
        <v>47</v>
      </c>
      <c r="M397" s="37" t="s">
        <v>27</v>
      </c>
      <c r="N397" s="4" t="str">
        <f>IF(I397=_xlfn.XLOOKUP(F397,Lists!$D$2:$D$13,Lists!$E$2:$E$13,"Not Found"),"OK","Check Price")</f>
        <v>Check Price</v>
      </c>
    </row>
    <row r="398" spans="1:14" ht="15.5" hidden="1" thickTop="1" thickBot="1" x14ac:dyDescent="0.4">
      <c r="A398" s="36" t="str">
        <f t="shared" si="12"/>
        <v>ORD0397</v>
      </c>
      <c r="B398" s="34">
        <v>45598</v>
      </c>
      <c r="C398" s="38" t="s">
        <v>66</v>
      </c>
      <c r="D398" s="38" t="s">
        <v>17</v>
      </c>
      <c r="E398" s="38" t="s">
        <v>35</v>
      </c>
      <c r="F398" s="38" t="s">
        <v>43</v>
      </c>
      <c r="G398" s="38" t="s">
        <v>30</v>
      </c>
      <c r="H398" s="38">
        <v>5</v>
      </c>
      <c r="I398" s="38">
        <v>28000</v>
      </c>
      <c r="J398" s="38">
        <v>0.1</v>
      </c>
      <c r="K398" s="38">
        <f t="shared" si="13"/>
        <v>126000</v>
      </c>
      <c r="L398" s="38" t="s">
        <v>50</v>
      </c>
      <c r="M398" s="38" t="s">
        <v>33</v>
      </c>
      <c r="N398" s="4" t="str">
        <f>IF(I398=_xlfn.XLOOKUP(F398,Lists!$D$2:$D$13,Lists!$E$2:$E$13,"Not Found"),"OK","Check Price")</f>
        <v>Check Price</v>
      </c>
    </row>
    <row r="399" spans="1:14" ht="15.5" hidden="1" thickTop="1" thickBot="1" x14ac:dyDescent="0.4">
      <c r="A399" s="36" t="str">
        <f t="shared" si="12"/>
        <v>ORD0398</v>
      </c>
      <c r="B399" s="34">
        <v>45397</v>
      </c>
      <c r="C399" s="37" t="s">
        <v>74</v>
      </c>
      <c r="D399" s="37" t="s">
        <v>23</v>
      </c>
      <c r="E399" s="37" t="s">
        <v>18</v>
      </c>
      <c r="F399" s="37" t="s">
        <v>57</v>
      </c>
      <c r="G399" s="37" t="s">
        <v>19</v>
      </c>
      <c r="H399" s="37">
        <v>9</v>
      </c>
      <c r="I399" s="37">
        <v>2500</v>
      </c>
      <c r="J399" s="37">
        <v>0.05</v>
      </c>
      <c r="K399" s="37">
        <f t="shared" si="13"/>
        <v>21375</v>
      </c>
      <c r="L399" s="37" t="s">
        <v>21</v>
      </c>
      <c r="M399" s="37" t="s">
        <v>38</v>
      </c>
      <c r="N399" s="4" t="str">
        <f>IF(I399=_xlfn.XLOOKUP(F399,Lists!$D$2:$D$13,Lists!$E$2:$E$13,"Not Found"),"OK","Check Price")</f>
        <v>Check Price</v>
      </c>
    </row>
    <row r="400" spans="1:14" ht="15.5" hidden="1" thickTop="1" thickBot="1" x14ac:dyDescent="0.4">
      <c r="A400" s="36" t="str">
        <f t="shared" si="12"/>
        <v>ORD0399</v>
      </c>
      <c r="B400" s="34">
        <v>45310</v>
      </c>
      <c r="C400" s="38" t="s">
        <v>69</v>
      </c>
      <c r="D400" s="38" t="s">
        <v>17</v>
      </c>
      <c r="E400" s="38" t="s">
        <v>35</v>
      </c>
      <c r="F400" s="38" t="s">
        <v>43</v>
      </c>
      <c r="G400" s="38" t="s">
        <v>24</v>
      </c>
      <c r="H400" s="38">
        <v>3</v>
      </c>
      <c r="I400" s="38">
        <v>4000</v>
      </c>
      <c r="J400" s="38">
        <v>0.2</v>
      </c>
      <c r="K400" s="38">
        <f t="shared" si="13"/>
        <v>9600</v>
      </c>
      <c r="L400" s="38" t="s">
        <v>21</v>
      </c>
      <c r="M400" s="38" t="s">
        <v>33</v>
      </c>
      <c r="N400" s="4" t="str">
        <f>IF(I400=_xlfn.XLOOKUP(F400,Lists!$D$2:$D$13,Lists!$E$2:$E$13,"Not Found"),"OK","Check Price")</f>
        <v>Check Price</v>
      </c>
    </row>
    <row r="401" spans="1:14" ht="15.5" hidden="1" thickTop="1" thickBot="1" x14ac:dyDescent="0.4">
      <c r="A401" s="36" t="str">
        <f t="shared" si="12"/>
        <v>ORD0400</v>
      </c>
      <c r="B401" s="34">
        <v>45690</v>
      </c>
      <c r="C401" s="37" t="s">
        <v>77</v>
      </c>
      <c r="D401" s="37" t="s">
        <v>45</v>
      </c>
      <c r="E401" s="37" t="s">
        <v>35</v>
      </c>
      <c r="F401" s="37" t="s">
        <v>57</v>
      </c>
      <c r="G401" s="37" t="s">
        <v>19</v>
      </c>
      <c r="H401" s="37">
        <v>7</v>
      </c>
      <c r="I401" s="37">
        <v>28000</v>
      </c>
      <c r="J401" s="37">
        <v>0.25</v>
      </c>
      <c r="K401" s="37">
        <f t="shared" si="13"/>
        <v>147000</v>
      </c>
      <c r="L401" s="37" t="s">
        <v>44</v>
      </c>
      <c r="M401" s="37" t="s">
        <v>38</v>
      </c>
      <c r="N401" s="4" t="str">
        <f>IF(I401=_xlfn.XLOOKUP(F401,Lists!$D$2:$D$13,Lists!$E$2:$E$13,"Not Found"),"OK","Check Price")</f>
        <v>Check Price</v>
      </c>
    </row>
    <row r="402" spans="1:14" ht="15.5" hidden="1" thickTop="1" thickBot="1" x14ac:dyDescent="0.4">
      <c r="A402" s="36" t="str">
        <f t="shared" si="12"/>
        <v>ORD0401</v>
      </c>
      <c r="B402" s="34">
        <v>45323</v>
      </c>
      <c r="C402" s="38" t="s">
        <v>62</v>
      </c>
      <c r="D402" s="38" t="s">
        <v>23</v>
      </c>
      <c r="E402" s="38" t="s">
        <v>18</v>
      </c>
      <c r="F402" s="38" t="s">
        <v>57</v>
      </c>
      <c r="G402" s="38" t="s">
        <v>30</v>
      </c>
      <c r="H402" s="38">
        <v>2</v>
      </c>
      <c r="I402" s="38">
        <v>2000</v>
      </c>
      <c r="J402" s="38">
        <v>0.1</v>
      </c>
      <c r="K402" s="38">
        <f t="shared" si="13"/>
        <v>3600</v>
      </c>
      <c r="L402" s="38" t="s">
        <v>56</v>
      </c>
      <c r="M402" s="38" t="s">
        <v>33</v>
      </c>
      <c r="N402" s="4" t="str">
        <f>IF(I402=_xlfn.XLOOKUP(F402,Lists!$D$2:$D$13,Lists!$E$2:$E$13,"Not Found"),"OK","Check Price")</f>
        <v>OK</v>
      </c>
    </row>
    <row r="403" spans="1:14" ht="15.5" hidden="1" thickTop="1" thickBot="1" x14ac:dyDescent="0.4">
      <c r="A403" s="36" t="str">
        <f t="shared" si="12"/>
        <v>ORD0402</v>
      </c>
      <c r="B403" s="34">
        <v>46004</v>
      </c>
      <c r="C403" s="37" t="s">
        <v>68</v>
      </c>
      <c r="D403" s="37" t="s">
        <v>54</v>
      </c>
      <c r="E403" s="37" t="s">
        <v>80</v>
      </c>
      <c r="F403" s="37" t="s">
        <v>36</v>
      </c>
      <c r="G403" s="37" t="s">
        <v>19</v>
      </c>
      <c r="H403" s="37">
        <v>1</v>
      </c>
      <c r="I403" s="37">
        <v>2000</v>
      </c>
      <c r="J403" s="37">
        <v>0.2</v>
      </c>
      <c r="K403" s="37">
        <f t="shared" si="13"/>
        <v>1600</v>
      </c>
      <c r="L403" s="37" t="s">
        <v>47</v>
      </c>
      <c r="M403" s="37" t="s">
        <v>22</v>
      </c>
      <c r="N403" s="4" t="str">
        <f>IF(I403=_xlfn.XLOOKUP(F403,Lists!$D$2:$D$13,Lists!$E$2:$E$13,"Not Found"),"OK","Check Price")</f>
        <v>Check Price</v>
      </c>
    </row>
    <row r="404" spans="1:14" ht="15.5" thickTop="1" thickBot="1" x14ac:dyDescent="0.4">
      <c r="A404" s="36" t="str">
        <f t="shared" si="12"/>
        <v>ORD0403</v>
      </c>
      <c r="B404" s="34">
        <v>45992</v>
      </c>
      <c r="C404" s="38" t="s">
        <v>75</v>
      </c>
      <c r="D404" s="38" t="s">
        <v>23</v>
      </c>
      <c r="E404" s="38" t="s">
        <v>18</v>
      </c>
      <c r="F404" s="38" t="s">
        <v>55</v>
      </c>
      <c r="G404" s="35" t="str">
        <f>_xlfn.XLOOKUP(F404,Lists!$J$2:$J$13,Lists!$K$2:$K$13,"Not Found")</f>
        <v>Office Supplies</v>
      </c>
      <c r="H404" s="38">
        <v>8</v>
      </c>
      <c r="I404" s="35">
        <f>_xlfn.XLOOKUP(F404,Lists!$D$2:$D$13,Lists!$E$2:$E$13,"Not Found")</f>
        <v>1500</v>
      </c>
      <c r="J404" s="48">
        <v>0.25</v>
      </c>
      <c r="K404" s="35">
        <f>H404*I404*(1-J404)</f>
        <v>9000</v>
      </c>
      <c r="L404" s="38" t="s">
        <v>56</v>
      </c>
      <c r="M404" s="38" t="s">
        <v>22</v>
      </c>
      <c r="N404" s="4" t="str">
        <f>IF(I404=_xlfn.XLOOKUP(F404,Lists!$D$2:$D$13,Lists!$E$2:$E$13,"Not Found"),"OK","Check Price")</f>
        <v>OK</v>
      </c>
    </row>
    <row r="405" spans="1:14" ht="15.5" hidden="1" thickTop="1" thickBot="1" x14ac:dyDescent="0.4">
      <c r="A405" s="36" t="str">
        <f t="shared" si="12"/>
        <v>ORD0404</v>
      </c>
      <c r="B405" s="34">
        <v>45994</v>
      </c>
      <c r="C405" s="37" t="s">
        <v>64</v>
      </c>
      <c r="D405" s="37" t="s">
        <v>17</v>
      </c>
      <c r="E405" s="37" t="s">
        <v>119</v>
      </c>
      <c r="F405" s="37" t="s">
        <v>31</v>
      </c>
      <c r="G405" s="37" t="s">
        <v>24</v>
      </c>
      <c r="H405" s="37">
        <v>2</v>
      </c>
      <c r="I405" s="37">
        <v>12000</v>
      </c>
      <c r="J405" s="37">
        <v>0.2</v>
      </c>
      <c r="K405" s="37">
        <f t="shared" si="13"/>
        <v>19200</v>
      </c>
      <c r="L405" s="37" t="s">
        <v>47</v>
      </c>
      <c r="M405" s="37" t="s">
        <v>38</v>
      </c>
      <c r="N405" s="4" t="str">
        <f>IF(I405=_xlfn.XLOOKUP(F405,Lists!$D$2:$D$13,Lists!$E$2:$E$13,"Not Found"),"OK","Check Price")</f>
        <v>Check Price</v>
      </c>
    </row>
    <row r="406" spans="1:14" ht="15.5" hidden="1" thickTop="1" thickBot="1" x14ac:dyDescent="0.4">
      <c r="A406" s="36" t="str">
        <f t="shared" si="12"/>
        <v>ORD0405</v>
      </c>
      <c r="B406" s="34">
        <v>45405</v>
      </c>
      <c r="C406" s="38" t="s">
        <v>73</v>
      </c>
      <c r="D406" s="38" t="s">
        <v>23</v>
      </c>
      <c r="E406" s="38" t="s">
        <v>35</v>
      </c>
      <c r="F406" s="38" t="s">
        <v>25</v>
      </c>
      <c r="G406" s="38" t="s">
        <v>24</v>
      </c>
      <c r="H406" s="38">
        <v>5</v>
      </c>
      <c r="I406" s="38">
        <v>2500</v>
      </c>
      <c r="J406" s="38">
        <v>0.1</v>
      </c>
      <c r="K406" s="38">
        <f t="shared" si="13"/>
        <v>11250</v>
      </c>
      <c r="L406" s="38" t="s">
        <v>56</v>
      </c>
      <c r="M406" s="38" t="s">
        <v>38</v>
      </c>
      <c r="N406" s="4" t="str">
        <f>IF(I406=_xlfn.XLOOKUP(F406,Lists!$D$2:$D$13,Lists!$E$2:$E$13,"Not Found"),"OK","Check Price")</f>
        <v>Check Price</v>
      </c>
    </row>
    <row r="407" spans="1:14" ht="15.5" hidden="1" thickTop="1" thickBot="1" x14ac:dyDescent="0.4">
      <c r="A407" s="36" t="str">
        <f t="shared" si="12"/>
        <v>ORD0406</v>
      </c>
      <c r="B407" s="34">
        <v>45691</v>
      </c>
      <c r="C407" s="37" t="s">
        <v>75</v>
      </c>
      <c r="D407" s="37" t="s">
        <v>39</v>
      </c>
      <c r="E407" s="37" t="s">
        <v>35</v>
      </c>
      <c r="F407" s="37" t="s">
        <v>49</v>
      </c>
      <c r="G407" s="37" t="s">
        <v>30</v>
      </c>
      <c r="H407" s="37">
        <v>8</v>
      </c>
      <c r="I407" s="37">
        <v>1500</v>
      </c>
      <c r="J407" s="37">
        <v>0.25</v>
      </c>
      <c r="K407" s="37">
        <f t="shared" si="13"/>
        <v>9000</v>
      </c>
      <c r="L407" s="37" t="s">
        <v>26</v>
      </c>
      <c r="M407" s="37" t="s">
        <v>22</v>
      </c>
      <c r="N407" s="4" t="str">
        <f>IF(I407=_xlfn.XLOOKUP(F407,Lists!$D$2:$D$13,Lists!$E$2:$E$13,"Not Found"),"OK","Check Price")</f>
        <v>Check Price</v>
      </c>
    </row>
    <row r="408" spans="1:14" ht="15.5" hidden="1" thickTop="1" thickBot="1" x14ac:dyDescent="0.4">
      <c r="A408" s="36" t="str">
        <f t="shared" si="12"/>
        <v>ORD0407</v>
      </c>
      <c r="B408" s="34">
        <v>45456</v>
      </c>
      <c r="C408" s="38" t="s">
        <v>65</v>
      </c>
      <c r="D408" s="38" t="s">
        <v>51</v>
      </c>
      <c r="E408" s="38" t="s">
        <v>35</v>
      </c>
      <c r="F408" s="38" t="s">
        <v>57</v>
      </c>
      <c r="G408" s="38" t="s">
        <v>24</v>
      </c>
      <c r="H408" s="38">
        <v>4</v>
      </c>
      <c r="I408" s="38">
        <v>1200</v>
      </c>
      <c r="J408" s="38">
        <v>0.05</v>
      </c>
      <c r="K408" s="38">
        <f t="shared" si="13"/>
        <v>4560</v>
      </c>
      <c r="L408" s="38" t="s">
        <v>37</v>
      </c>
      <c r="M408" s="38" t="s">
        <v>33</v>
      </c>
      <c r="N408" s="4" t="str">
        <f>IF(I408=_xlfn.XLOOKUP(F408,Lists!$D$2:$D$13,Lists!$E$2:$E$13,"Not Found"),"OK","Check Price")</f>
        <v>Check Price</v>
      </c>
    </row>
    <row r="409" spans="1:14" ht="15.5" hidden="1" thickTop="1" thickBot="1" x14ac:dyDescent="0.4">
      <c r="A409" s="36" t="str">
        <f t="shared" si="12"/>
        <v>ORD0408</v>
      </c>
      <c r="B409" s="34">
        <v>45898</v>
      </c>
      <c r="C409" s="37" t="s">
        <v>73</v>
      </c>
      <c r="D409" s="37" t="s">
        <v>48</v>
      </c>
      <c r="E409" s="37" t="s">
        <v>119</v>
      </c>
      <c r="F409" s="37" t="s">
        <v>43</v>
      </c>
      <c r="G409" s="37" t="s">
        <v>24</v>
      </c>
      <c r="H409" s="37">
        <v>10</v>
      </c>
      <c r="I409" s="37">
        <v>30000</v>
      </c>
      <c r="J409" s="37">
        <v>0.05</v>
      </c>
      <c r="K409" s="37">
        <f t="shared" si="13"/>
        <v>285000</v>
      </c>
      <c r="L409" s="37" t="s">
        <v>47</v>
      </c>
      <c r="M409" s="37" t="s">
        <v>27</v>
      </c>
      <c r="N409" s="4" t="str">
        <f>IF(I409=_xlfn.XLOOKUP(F409,Lists!$D$2:$D$13,Lists!$E$2:$E$13,"Not Found"),"OK","Check Price")</f>
        <v>Check Price</v>
      </c>
    </row>
    <row r="410" spans="1:14" ht="15.5" thickTop="1" thickBot="1" x14ac:dyDescent="0.4">
      <c r="A410" s="36" t="str">
        <f t="shared" si="12"/>
        <v>ORD0409</v>
      </c>
      <c r="B410" s="34">
        <v>45665</v>
      </c>
      <c r="C410" s="38" t="s">
        <v>75</v>
      </c>
      <c r="D410" s="38" t="s">
        <v>42</v>
      </c>
      <c r="E410" s="38" t="s">
        <v>29</v>
      </c>
      <c r="F410" s="38" t="s">
        <v>46</v>
      </c>
      <c r="G410" s="35" t="str">
        <f>_xlfn.XLOOKUP(F410,Lists!$J$2:$J$13,Lists!$K$2:$K$13,"Not Found")</f>
        <v>Furniture</v>
      </c>
      <c r="H410" s="38">
        <v>6</v>
      </c>
      <c r="I410" s="35">
        <f>_xlfn.XLOOKUP(F410,Lists!$D$2:$D$13,Lists!$E$2:$E$13,"Not Found")</f>
        <v>22000</v>
      </c>
      <c r="J410" s="48">
        <v>0.05</v>
      </c>
      <c r="K410" s="35">
        <f>H410*I410*(1-J410)</f>
        <v>125400</v>
      </c>
      <c r="L410" s="38" t="s">
        <v>53</v>
      </c>
      <c r="M410" s="38" t="s">
        <v>38</v>
      </c>
      <c r="N410" s="4" t="str">
        <f>IF(I410=_xlfn.XLOOKUP(F410,Lists!$D$2:$D$13,Lists!$E$2:$E$13,"Not Found"),"OK","Check Price")</f>
        <v>OK</v>
      </c>
    </row>
    <row r="411" spans="1:14" ht="15.5" hidden="1" thickTop="1" thickBot="1" x14ac:dyDescent="0.4">
      <c r="A411" s="36" t="str">
        <f t="shared" si="12"/>
        <v>ORD0410</v>
      </c>
      <c r="B411" s="34">
        <v>45514</v>
      </c>
      <c r="C411" s="37" t="s">
        <v>77</v>
      </c>
      <c r="D411" s="37" t="s">
        <v>28</v>
      </c>
      <c r="E411" s="37" t="s">
        <v>80</v>
      </c>
      <c r="F411" s="37" t="s">
        <v>25</v>
      </c>
      <c r="G411" s="37" t="s">
        <v>24</v>
      </c>
      <c r="H411" s="37">
        <v>7</v>
      </c>
      <c r="I411" s="37">
        <v>22000</v>
      </c>
      <c r="J411" s="37">
        <v>0.05</v>
      </c>
      <c r="K411" s="37">
        <f t="shared" si="13"/>
        <v>146300</v>
      </c>
      <c r="L411" s="37" t="s">
        <v>56</v>
      </c>
      <c r="M411" s="37" t="s">
        <v>33</v>
      </c>
      <c r="N411" s="4" t="str">
        <f>IF(I411=_xlfn.XLOOKUP(F411,Lists!$D$2:$D$13,Lists!$E$2:$E$13,"Not Found"),"OK","Check Price")</f>
        <v>Check Price</v>
      </c>
    </row>
    <row r="412" spans="1:14" ht="15.5" hidden="1" thickTop="1" thickBot="1" x14ac:dyDescent="0.4">
      <c r="A412" s="36" t="str">
        <f t="shared" si="12"/>
        <v>ORD0411</v>
      </c>
      <c r="B412" s="34">
        <v>45605</v>
      </c>
      <c r="C412" s="38" t="s">
        <v>76</v>
      </c>
      <c r="D412" s="38" t="s">
        <v>48</v>
      </c>
      <c r="E412" s="38" t="s">
        <v>35</v>
      </c>
      <c r="F412" s="38" t="s">
        <v>25</v>
      </c>
      <c r="G412" s="38" t="s">
        <v>19</v>
      </c>
      <c r="H412" s="38">
        <v>5</v>
      </c>
      <c r="I412" s="38">
        <v>1200</v>
      </c>
      <c r="J412" s="38">
        <v>0.15</v>
      </c>
      <c r="K412" s="38">
        <f t="shared" si="13"/>
        <v>5100</v>
      </c>
      <c r="L412" s="38" t="s">
        <v>21</v>
      </c>
      <c r="M412" s="38" t="s">
        <v>22</v>
      </c>
      <c r="N412" s="4" t="str">
        <f>IF(I412=_xlfn.XLOOKUP(F412,Lists!$D$2:$D$13,Lists!$E$2:$E$13,"Not Found"),"OK","Check Price")</f>
        <v>Check Price</v>
      </c>
    </row>
    <row r="413" spans="1:14" ht="15.5" hidden="1" thickTop="1" thickBot="1" x14ac:dyDescent="0.4">
      <c r="A413" s="36" t="str">
        <f t="shared" si="12"/>
        <v>ORD0412</v>
      </c>
      <c r="B413" s="34">
        <v>45990</v>
      </c>
      <c r="C413" s="37" t="s">
        <v>62</v>
      </c>
      <c r="D413" s="37" t="s">
        <v>23</v>
      </c>
      <c r="E413" s="37" t="s">
        <v>79</v>
      </c>
      <c r="F413" s="37" t="s">
        <v>43</v>
      </c>
      <c r="G413" s="37" t="s">
        <v>19</v>
      </c>
      <c r="H413" s="37">
        <v>10</v>
      </c>
      <c r="I413" s="37">
        <v>85000</v>
      </c>
      <c r="J413" s="37">
        <v>0.15</v>
      </c>
      <c r="K413" s="37">
        <f t="shared" si="13"/>
        <v>722500</v>
      </c>
      <c r="L413" s="37" t="s">
        <v>37</v>
      </c>
      <c r="M413" s="37" t="s">
        <v>33</v>
      </c>
      <c r="N413" s="4" t="str">
        <f>IF(I413=_xlfn.XLOOKUP(F413,Lists!$D$2:$D$13,Lists!$E$2:$E$13,"Not Found"),"OK","Check Price")</f>
        <v>Check Price</v>
      </c>
    </row>
    <row r="414" spans="1:14" ht="15.5" hidden="1" thickTop="1" thickBot="1" x14ac:dyDescent="0.4">
      <c r="A414" s="36" t="str">
        <f t="shared" si="12"/>
        <v>ORD0413</v>
      </c>
      <c r="B414" s="34">
        <v>45315</v>
      </c>
      <c r="C414" s="38" t="s">
        <v>75</v>
      </c>
      <c r="D414" s="38" t="s">
        <v>45</v>
      </c>
      <c r="E414" s="38" t="s">
        <v>29</v>
      </c>
      <c r="F414" s="38" t="s">
        <v>31</v>
      </c>
      <c r="G414" s="38" t="s">
        <v>30</v>
      </c>
      <c r="H414" s="38">
        <v>1</v>
      </c>
      <c r="I414" s="38">
        <v>85000</v>
      </c>
      <c r="J414" s="38">
        <v>0.1</v>
      </c>
      <c r="K414" s="38">
        <f t="shared" si="13"/>
        <v>76500</v>
      </c>
      <c r="L414" s="38" t="s">
        <v>26</v>
      </c>
      <c r="M414" s="38" t="s">
        <v>33</v>
      </c>
      <c r="N414" s="4" t="str">
        <f>IF(I414=_xlfn.XLOOKUP(F414,Lists!$D$2:$D$13,Lists!$E$2:$E$13,"Not Found"),"OK","Check Price")</f>
        <v>Check Price</v>
      </c>
    </row>
    <row r="415" spans="1:14" ht="15.5" thickTop="1" thickBot="1" x14ac:dyDescent="0.4">
      <c r="A415" s="36" t="str">
        <f t="shared" si="12"/>
        <v>ORD0414</v>
      </c>
      <c r="B415" s="34">
        <v>45781</v>
      </c>
      <c r="C415" s="37" t="s">
        <v>75</v>
      </c>
      <c r="D415" s="37" t="s">
        <v>17</v>
      </c>
      <c r="E415" s="37" t="s">
        <v>79</v>
      </c>
      <c r="F415" s="37" t="s">
        <v>46</v>
      </c>
      <c r="G415" s="35" t="str">
        <f>_xlfn.XLOOKUP(F415,Lists!$J$2:$J$13,Lists!$K$2:$K$13,"Not Found")</f>
        <v>Furniture</v>
      </c>
      <c r="H415" s="37">
        <v>4</v>
      </c>
      <c r="I415" s="35">
        <f>_xlfn.XLOOKUP(F415,Lists!$D$2:$D$13,Lists!$E$2:$E$13,"Not Found")</f>
        <v>22000</v>
      </c>
      <c r="J415" s="47">
        <v>0.25</v>
      </c>
      <c r="K415" s="35">
        <f>H415*I415*(1-J415)</f>
        <v>66000</v>
      </c>
      <c r="L415" s="37" t="s">
        <v>47</v>
      </c>
      <c r="M415" s="37" t="s">
        <v>27</v>
      </c>
      <c r="N415" s="4" t="str">
        <f>IF(I415=_xlfn.XLOOKUP(F415,Lists!$D$2:$D$13,Lists!$E$2:$E$13,"Not Found"),"OK","Check Price")</f>
        <v>OK</v>
      </c>
    </row>
    <row r="416" spans="1:14" ht="15.5" hidden="1" thickTop="1" thickBot="1" x14ac:dyDescent="0.4">
      <c r="A416" s="36" t="str">
        <f t="shared" si="12"/>
        <v>ORD0415</v>
      </c>
      <c r="B416" s="34">
        <v>45742</v>
      </c>
      <c r="C416" s="38" t="s">
        <v>61</v>
      </c>
      <c r="D416" s="38" t="s">
        <v>54</v>
      </c>
      <c r="E416" s="38" t="s">
        <v>18</v>
      </c>
      <c r="F416" s="38" t="s">
        <v>36</v>
      </c>
      <c r="G416" s="38" t="s">
        <v>19</v>
      </c>
      <c r="H416" s="38">
        <v>6</v>
      </c>
      <c r="I416" s="38">
        <v>1500</v>
      </c>
      <c r="J416" s="38">
        <v>0.15</v>
      </c>
      <c r="K416" s="38">
        <f t="shared" si="13"/>
        <v>7650</v>
      </c>
      <c r="L416" s="38" t="s">
        <v>37</v>
      </c>
      <c r="M416" s="38" t="s">
        <v>33</v>
      </c>
      <c r="N416" s="4" t="str">
        <f>IF(I416=_xlfn.XLOOKUP(F416,Lists!$D$2:$D$13,Lists!$E$2:$E$13,"Not Found"),"OK","Check Price")</f>
        <v>Check Price</v>
      </c>
    </row>
    <row r="417" spans="1:14" ht="15.5" hidden="1" thickTop="1" thickBot="1" x14ac:dyDescent="0.4">
      <c r="A417" s="36" t="str">
        <f t="shared" si="12"/>
        <v>ORD0416</v>
      </c>
      <c r="B417" s="34">
        <v>45338</v>
      </c>
      <c r="C417" s="37" t="s">
        <v>77</v>
      </c>
      <c r="D417" s="37" t="s">
        <v>48</v>
      </c>
      <c r="E417" s="37" t="s">
        <v>35</v>
      </c>
      <c r="F417" s="37" t="s">
        <v>57</v>
      </c>
      <c r="G417" s="37" t="s">
        <v>30</v>
      </c>
      <c r="H417" s="37">
        <v>4</v>
      </c>
      <c r="I417" s="37">
        <v>22000</v>
      </c>
      <c r="J417" s="37">
        <v>0.05</v>
      </c>
      <c r="K417" s="37">
        <f t="shared" si="13"/>
        <v>83600</v>
      </c>
      <c r="L417" s="37" t="s">
        <v>26</v>
      </c>
      <c r="M417" s="37" t="s">
        <v>38</v>
      </c>
      <c r="N417" s="4" t="str">
        <f>IF(I417=_xlfn.XLOOKUP(F417,Lists!$D$2:$D$13,Lists!$E$2:$E$13,"Not Found"),"OK","Check Price")</f>
        <v>Check Price</v>
      </c>
    </row>
    <row r="418" spans="1:14" ht="15.5" hidden="1" thickTop="1" thickBot="1" x14ac:dyDescent="0.4">
      <c r="A418" s="36" t="str">
        <f t="shared" si="12"/>
        <v>ORD0417</v>
      </c>
      <c r="B418" s="34">
        <v>45729</v>
      </c>
      <c r="C418" s="38" t="s">
        <v>60</v>
      </c>
      <c r="D418" s="38" t="s">
        <v>45</v>
      </c>
      <c r="E418" s="38" t="s">
        <v>119</v>
      </c>
      <c r="F418" s="38" t="s">
        <v>43</v>
      </c>
      <c r="G418" s="38" t="s">
        <v>24</v>
      </c>
      <c r="H418" s="38">
        <v>2</v>
      </c>
      <c r="I418" s="38">
        <v>4000</v>
      </c>
      <c r="J418" s="38">
        <v>0.1</v>
      </c>
      <c r="K418" s="38">
        <f t="shared" si="13"/>
        <v>7200</v>
      </c>
      <c r="L418" s="38" t="s">
        <v>56</v>
      </c>
      <c r="M418" s="38" t="s">
        <v>33</v>
      </c>
      <c r="N418" s="4" t="str">
        <f>IF(I418=_xlfn.XLOOKUP(F418,Lists!$D$2:$D$13,Lists!$E$2:$E$13,"Not Found"),"OK","Check Price")</f>
        <v>Check Price</v>
      </c>
    </row>
    <row r="419" spans="1:14" ht="15.5" hidden="1" thickTop="1" thickBot="1" x14ac:dyDescent="0.4">
      <c r="A419" s="36" t="str">
        <f t="shared" si="12"/>
        <v>ORD0418</v>
      </c>
      <c r="B419" s="34">
        <v>45824</v>
      </c>
      <c r="C419" s="37" t="s">
        <v>67</v>
      </c>
      <c r="D419" s="37" t="s">
        <v>17</v>
      </c>
      <c r="E419" s="37" t="s">
        <v>80</v>
      </c>
      <c r="F419" s="37" t="s">
        <v>49</v>
      </c>
      <c r="G419" s="37" t="s">
        <v>30</v>
      </c>
      <c r="H419" s="37">
        <v>3</v>
      </c>
      <c r="I419" s="37">
        <v>5000</v>
      </c>
      <c r="J419" s="37">
        <v>0.1</v>
      </c>
      <c r="K419" s="37">
        <f t="shared" si="13"/>
        <v>13500</v>
      </c>
      <c r="L419" s="37" t="s">
        <v>41</v>
      </c>
      <c r="M419" s="37" t="s">
        <v>22</v>
      </c>
      <c r="N419" s="4" t="str">
        <f>IF(I419=_xlfn.XLOOKUP(F419,Lists!$D$2:$D$13,Lists!$E$2:$E$13,"Not Found"),"OK","Check Price")</f>
        <v>Check Price</v>
      </c>
    </row>
    <row r="420" spans="1:14" ht="15.5" thickTop="1" thickBot="1" x14ac:dyDescent="0.4">
      <c r="A420" s="36" t="str">
        <f t="shared" si="12"/>
        <v>ORD0419</v>
      </c>
      <c r="B420" s="34">
        <v>45632</v>
      </c>
      <c r="C420" s="38" t="s">
        <v>69</v>
      </c>
      <c r="D420" s="38" t="s">
        <v>54</v>
      </c>
      <c r="E420" s="38" t="s">
        <v>119</v>
      </c>
      <c r="F420" s="38" t="s">
        <v>20</v>
      </c>
      <c r="G420" s="35" t="str">
        <f>_xlfn.XLOOKUP(F420,Lists!$J$2:$J$13,Lists!$K$2:$K$13,"Not Found")</f>
        <v>Electronics</v>
      </c>
      <c r="H420" s="38">
        <v>9</v>
      </c>
      <c r="I420" s="35">
        <f>_xlfn.XLOOKUP(F420,Lists!$D$2:$D$13,Lists!$E$2:$E$13,"Not Found")</f>
        <v>85000</v>
      </c>
      <c r="J420" s="48">
        <v>0.2</v>
      </c>
      <c r="K420" s="35">
        <f>H420*I420*(1-J420)</f>
        <v>612000</v>
      </c>
      <c r="L420" s="38" t="s">
        <v>50</v>
      </c>
      <c r="M420" s="38" t="s">
        <v>38</v>
      </c>
      <c r="N420" s="4" t="str">
        <f>IF(I420=_xlfn.XLOOKUP(F420,Lists!$D$2:$D$13,Lists!$E$2:$E$13,"Not Found"),"OK","Check Price")</f>
        <v>OK</v>
      </c>
    </row>
    <row r="421" spans="1:14" ht="15.5" hidden="1" thickTop="1" thickBot="1" x14ac:dyDescent="0.4">
      <c r="A421" s="36" t="str">
        <f t="shared" si="12"/>
        <v>ORD0420</v>
      </c>
      <c r="B421" s="34">
        <v>45323</v>
      </c>
      <c r="C421" s="37" t="s">
        <v>65</v>
      </c>
      <c r="D421" s="37" t="s">
        <v>23</v>
      </c>
      <c r="E421" s="37" t="s">
        <v>18</v>
      </c>
      <c r="F421" s="37" t="s">
        <v>31</v>
      </c>
      <c r="G421" s="37" t="s">
        <v>19</v>
      </c>
      <c r="H421" s="37">
        <v>1</v>
      </c>
      <c r="I421" s="37">
        <v>28000</v>
      </c>
      <c r="J421" s="37">
        <v>0.15</v>
      </c>
      <c r="K421" s="37">
        <f t="shared" si="13"/>
        <v>23800</v>
      </c>
      <c r="L421" s="37" t="s">
        <v>41</v>
      </c>
      <c r="M421" s="37" t="s">
        <v>27</v>
      </c>
      <c r="N421" s="4" t="str">
        <f>IF(I421=_xlfn.XLOOKUP(F421,Lists!$D$2:$D$13,Lists!$E$2:$E$13,"Not Found"),"OK","Check Price")</f>
        <v>Check Price</v>
      </c>
    </row>
    <row r="422" spans="1:14" ht="15.5" hidden="1" thickTop="1" thickBot="1" x14ac:dyDescent="0.4">
      <c r="A422" s="36" t="str">
        <f t="shared" si="12"/>
        <v>ORD0421</v>
      </c>
      <c r="B422" s="34">
        <v>45295</v>
      </c>
      <c r="C422" s="38" t="s">
        <v>70</v>
      </c>
      <c r="D422" s="38" t="s">
        <v>28</v>
      </c>
      <c r="E422" s="38" t="s">
        <v>29</v>
      </c>
      <c r="F422" s="38" t="s">
        <v>52</v>
      </c>
      <c r="G422" s="38" t="s">
        <v>24</v>
      </c>
      <c r="H422" s="38">
        <v>10</v>
      </c>
      <c r="I422" s="38">
        <v>5000</v>
      </c>
      <c r="J422" s="38">
        <v>0.1</v>
      </c>
      <c r="K422" s="38">
        <f t="shared" si="13"/>
        <v>45000</v>
      </c>
      <c r="L422" s="38" t="s">
        <v>37</v>
      </c>
      <c r="M422" s="38" t="s">
        <v>33</v>
      </c>
      <c r="N422" s="4" t="str">
        <f>IF(I422=_xlfn.XLOOKUP(F422,Lists!$D$2:$D$13,Lists!$E$2:$E$13,"Not Found"),"OK","Check Price")</f>
        <v>Check Price</v>
      </c>
    </row>
    <row r="423" spans="1:14" ht="15.5" hidden="1" thickTop="1" thickBot="1" x14ac:dyDescent="0.4">
      <c r="A423" s="36" t="str">
        <f t="shared" si="12"/>
        <v>ORD0422</v>
      </c>
      <c r="B423" s="34">
        <v>45751</v>
      </c>
      <c r="C423" s="37" t="s">
        <v>66</v>
      </c>
      <c r="D423" s="37" t="s">
        <v>39</v>
      </c>
      <c r="E423" s="37" t="s">
        <v>119</v>
      </c>
      <c r="F423" s="37" t="s">
        <v>49</v>
      </c>
      <c r="G423" s="37" t="s">
        <v>19</v>
      </c>
      <c r="H423" s="37">
        <v>7</v>
      </c>
      <c r="I423" s="37">
        <v>5000</v>
      </c>
      <c r="J423" s="37">
        <v>0.05</v>
      </c>
      <c r="K423" s="37">
        <f t="shared" si="13"/>
        <v>33250</v>
      </c>
      <c r="L423" s="37" t="s">
        <v>41</v>
      </c>
      <c r="M423" s="37" t="s">
        <v>27</v>
      </c>
      <c r="N423" s="4" t="str">
        <f>IF(I423=_xlfn.XLOOKUP(F423,Lists!$D$2:$D$13,Lists!$E$2:$E$13,"Not Found"),"OK","Check Price")</f>
        <v>Check Price</v>
      </c>
    </row>
    <row r="424" spans="1:14" ht="15.5" hidden="1" thickTop="1" thickBot="1" x14ac:dyDescent="0.4">
      <c r="A424" s="36" t="str">
        <f t="shared" si="12"/>
        <v>ORD0423</v>
      </c>
      <c r="B424" s="34">
        <v>45486</v>
      </c>
      <c r="C424" s="38" t="s">
        <v>70</v>
      </c>
      <c r="D424" s="38" t="s">
        <v>42</v>
      </c>
      <c r="E424" s="38" t="s">
        <v>80</v>
      </c>
      <c r="F424" s="38" t="s">
        <v>43</v>
      </c>
      <c r="G424" s="38" t="s">
        <v>19</v>
      </c>
      <c r="H424" s="38">
        <v>5</v>
      </c>
      <c r="I424" s="38">
        <v>2500</v>
      </c>
      <c r="J424" s="38">
        <v>0.1</v>
      </c>
      <c r="K424" s="38">
        <f t="shared" si="13"/>
        <v>11250</v>
      </c>
      <c r="L424" s="38" t="s">
        <v>41</v>
      </c>
      <c r="M424" s="38" t="s">
        <v>33</v>
      </c>
      <c r="N424" s="4" t="str">
        <f>IF(I424=_xlfn.XLOOKUP(F424,Lists!$D$2:$D$13,Lists!$E$2:$E$13,"Not Found"),"OK","Check Price")</f>
        <v>Check Price</v>
      </c>
    </row>
    <row r="425" spans="1:14" ht="15.5" hidden="1" thickTop="1" thickBot="1" x14ac:dyDescent="0.4">
      <c r="A425" s="36" t="str">
        <f t="shared" si="12"/>
        <v>ORD0424</v>
      </c>
      <c r="B425" s="34">
        <v>45697</v>
      </c>
      <c r="C425" s="37" t="s">
        <v>72</v>
      </c>
      <c r="D425" s="37" t="s">
        <v>23</v>
      </c>
      <c r="E425" s="37" t="s">
        <v>119</v>
      </c>
      <c r="F425" s="37" t="s">
        <v>57</v>
      </c>
      <c r="G425" s="37" t="s">
        <v>19</v>
      </c>
      <c r="H425" s="37">
        <v>6</v>
      </c>
      <c r="I425" s="37">
        <v>28000</v>
      </c>
      <c r="J425" s="37">
        <v>0.2</v>
      </c>
      <c r="K425" s="37">
        <f t="shared" si="13"/>
        <v>134400</v>
      </c>
      <c r="L425" s="37" t="s">
        <v>32</v>
      </c>
      <c r="M425" s="37" t="s">
        <v>38</v>
      </c>
      <c r="N425" s="4" t="str">
        <f>IF(I425=_xlfn.XLOOKUP(F425,Lists!$D$2:$D$13,Lists!$E$2:$E$13,"Not Found"),"OK","Check Price")</f>
        <v>Check Price</v>
      </c>
    </row>
    <row r="426" spans="1:14" ht="15.5" hidden="1" thickTop="1" thickBot="1" x14ac:dyDescent="0.4">
      <c r="A426" s="36" t="str">
        <f t="shared" si="12"/>
        <v>ORD0425</v>
      </c>
      <c r="B426" s="34">
        <v>45582</v>
      </c>
      <c r="C426" s="38" t="s">
        <v>76</v>
      </c>
      <c r="D426" s="38" t="s">
        <v>48</v>
      </c>
      <c r="E426" s="38" t="s">
        <v>35</v>
      </c>
      <c r="F426" s="38" t="s">
        <v>25</v>
      </c>
      <c r="G426" s="38" t="s">
        <v>30</v>
      </c>
      <c r="H426" s="38">
        <v>5</v>
      </c>
      <c r="I426" s="38">
        <v>5000</v>
      </c>
      <c r="J426" s="38">
        <v>0.15</v>
      </c>
      <c r="K426" s="38">
        <f t="shared" si="13"/>
        <v>21250</v>
      </c>
      <c r="L426" s="38" t="s">
        <v>56</v>
      </c>
      <c r="M426" s="38" t="s">
        <v>38</v>
      </c>
      <c r="N426" s="4" t="str">
        <f>IF(I426=_xlfn.XLOOKUP(F426,Lists!$D$2:$D$13,Lists!$E$2:$E$13,"Not Found"),"OK","Check Price")</f>
        <v>Check Price</v>
      </c>
    </row>
    <row r="427" spans="1:14" ht="15.5" thickTop="1" thickBot="1" x14ac:dyDescent="0.4">
      <c r="A427" s="36" t="str">
        <f t="shared" si="12"/>
        <v>ORD0426</v>
      </c>
      <c r="B427" s="34">
        <v>45688</v>
      </c>
      <c r="C427" s="37" t="s">
        <v>72</v>
      </c>
      <c r="D427" s="37" t="s">
        <v>54</v>
      </c>
      <c r="E427" s="37" t="s">
        <v>80</v>
      </c>
      <c r="F427" s="37" t="s">
        <v>55</v>
      </c>
      <c r="G427" s="35" t="str">
        <f>_xlfn.XLOOKUP(F427,Lists!$J$2:$J$13,Lists!$K$2:$K$13,"Not Found")</f>
        <v>Office Supplies</v>
      </c>
      <c r="H427" s="37">
        <v>2</v>
      </c>
      <c r="I427" s="35">
        <f>_xlfn.XLOOKUP(F427,Lists!$D$2:$D$13,Lists!$E$2:$E$13,"Not Found")</f>
        <v>1500</v>
      </c>
      <c r="J427" s="47">
        <v>0.05</v>
      </c>
      <c r="K427" s="35">
        <f t="shared" si="13"/>
        <v>2850</v>
      </c>
      <c r="L427" s="37" t="s">
        <v>44</v>
      </c>
      <c r="M427" s="37" t="s">
        <v>33</v>
      </c>
      <c r="N427" s="4" t="str">
        <f>IF(I427=_xlfn.XLOOKUP(F427,Lists!$D$2:$D$13,Lists!$E$2:$E$13,"Not Found"),"OK","Check Price")</f>
        <v>OK</v>
      </c>
    </row>
    <row r="428" spans="1:14" ht="15.5" thickTop="1" thickBot="1" x14ac:dyDescent="0.4">
      <c r="A428" s="36" t="str">
        <f t="shared" si="12"/>
        <v>ORD0427</v>
      </c>
      <c r="B428" s="34">
        <v>45798</v>
      </c>
      <c r="C428" s="38" t="s">
        <v>78</v>
      </c>
      <c r="D428" s="38" t="s">
        <v>42</v>
      </c>
      <c r="E428" s="38" t="s">
        <v>119</v>
      </c>
      <c r="F428" s="38" t="s">
        <v>20</v>
      </c>
      <c r="G428" s="35" t="str">
        <f>_xlfn.XLOOKUP(F428,Lists!$J$2:$J$13,Lists!$K$2:$K$13,"Not Found")</f>
        <v>Electronics</v>
      </c>
      <c r="H428" s="38">
        <v>8</v>
      </c>
      <c r="I428" s="35">
        <f>_xlfn.XLOOKUP(F428,Lists!$D$2:$D$13,Lists!$E$2:$E$13,"Not Found")</f>
        <v>85000</v>
      </c>
      <c r="J428" s="48">
        <v>0.15</v>
      </c>
      <c r="K428" s="35">
        <f t="shared" si="13"/>
        <v>578000</v>
      </c>
      <c r="L428" s="38" t="s">
        <v>56</v>
      </c>
      <c r="M428" s="38" t="s">
        <v>27</v>
      </c>
      <c r="N428" s="4" t="str">
        <f>IF(I428=_xlfn.XLOOKUP(F428,Lists!$D$2:$D$13,Lists!$E$2:$E$13,"Not Found"),"OK","Check Price")</f>
        <v>OK</v>
      </c>
    </row>
    <row r="429" spans="1:14" ht="15.5" hidden="1" thickTop="1" thickBot="1" x14ac:dyDescent="0.4">
      <c r="A429" s="36" t="str">
        <f t="shared" si="12"/>
        <v>ORD0428</v>
      </c>
      <c r="B429" s="34">
        <v>45748</v>
      </c>
      <c r="C429" s="37" t="s">
        <v>77</v>
      </c>
      <c r="D429" s="37" t="s">
        <v>54</v>
      </c>
      <c r="E429" s="37" t="s">
        <v>80</v>
      </c>
      <c r="F429" s="37" t="s">
        <v>31</v>
      </c>
      <c r="G429" s="37" t="s">
        <v>30</v>
      </c>
      <c r="H429" s="37">
        <v>6</v>
      </c>
      <c r="I429" s="37">
        <v>85000</v>
      </c>
      <c r="J429" s="37">
        <v>0.05</v>
      </c>
      <c r="K429" s="37">
        <f t="shared" si="13"/>
        <v>484500</v>
      </c>
      <c r="L429" s="37" t="s">
        <v>32</v>
      </c>
      <c r="M429" s="37" t="s">
        <v>22</v>
      </c>
      <c r="N429" s="4" t="str">
        <f>IF(I429=_xlfn.XLOOKUP(F429,Lists!$D$2:$D$13,Lists!$E$2:$E$13,"Not Found"),"OK","Check Price")</f>
        <v>Check Price</v>
      </c>
    </row>
    <row r="430" spans="1:14" ht="15.5" thickTop="1" thickBot="1" x14ac:dyDescent="0.4">
      <c r="A430" s="36" t="str">
        <f t="shared" si="12"/>
        <v>ORD0429</v>
      </c>
      <c r="B430" s="34">
        <v>45517</v>
      </c>
      <c r="C430" s="38" t="s">
        <v>78</v>
      </c>
      <c r="D430" s="38" t="s">
        <v>28</v>
      </c>
      <c r="E430" s="38" t="s">
        <v>79</v>
      </c>
      <c r="F430" s="38" t="s">
        <v>46</v>
      </c>
      <c r="G430" s="35" t="str">
        <f>_xlfn.XLOOKUP(F430,Lists!$J$2:$J$13,Lists!$K$2:$K$13,"Not Found")</f>
        <v>Furniture</v>
      </c>
      <c r="H430" s="38">
        <v>4</v>
      </c>
      <c r="I430" s="35">
        <f>_xlfn.XLOOKUP(F430,Lists!$D$2:$D$13,Lists!$E$2:$E$13,"Not Found")</f>
        <v>22000</v>
      </c>
      <c r="J430" s="48">
        <v>0.1</v>
      </c>
      <c r="K430" s="35">
        <f>H430*I430*(1-J430)</f>
        <v>79200</v>
      </c>
      <c r="L430" s="38" t="s">
        <v>26</v>
      </c>
      <c r="M430" s="38" t="s">
        <v>22</v>
      </c>
      <c r="N430" s="4" t="str">
        <f>IF(I430=_xlfn.XLOOKUP(F430,Lists!$D$2:$D$13,Lists!$E$2:$E$13,"Not Found"),"OK","Check Price")</f>
        <v>OK</v>
      </c>
    </row>
    <row r="431" spans="1:14" ht="15.5" hidden="1" thickTop="1" thickBot="1" x14ac:dyDescent="0.4">
      <c r="A431" s="36" t="str">
        <f t="shared" si="12"/>
        <v>ORD0430</v>
      </c>
      <c r="B431" s="34">
        <v>45672</v>
      </c>
      <c r="C431" s="37" t="s">
        <v>73</v>
      </c>
      <c r="D431" s="37" t="s">
        <v>45</v>
      </c>
      <c r="E431" s="37" t="s">
        <v>18</v>
      </c>
      <c r="F431" s="37" t="s">
        <v>49</v>
      </c>
      <c r="G431" s="37" t="s">
        <v>24</v>
      </c>
      <c r="H431" s="37">
        <v>6</v>
      </c>
      <c r="I431" s="37">
        <v>5000</v>
      </c>
      <c r="J431" s="37">
        <v>0.25</v>
      </c>
      <c r="K431" s="37">
        <f t="shared" si="13"/>
        <v>22500</v>
      </c>
      <c r="L431" s="37" t="s">
        <v>56</v>
      </c>
      <c r="M431" s="37" t="s">
        <v>33</v>
      </c>
      <c r="N431" s="4" t="str">
        <f>IF(I431=_xlfn.XLOOKUP(F431,Lists!$D$2:$D$13,Lists!$E$2:$E$13,"Not Found"),"OK","Check Price")</f>
        <v>Check Price</v>
      </c>
    </row>
    <row r="432" spans="1:14" ht="15.5" hidden="1" thickTop="1" thickBot="1" x14ac:dyDescent="0.4">
      <c r="A432" s="36" t="str">
        <f t="shared" si="12"/>
        <v>ORD0431</v>
      </c>
      <c r="B432" s="34">
        <v>45349</v>
      </c>
      <c r="C432" s="38" t="s">
        <v>76</v>
      </c>
      <c r="D432" s="38" t="s">
        <v>42</v>
      </c>
      <c r="E432" s="38" t="s">
        <v>29</v>
      </c>
      <c r="F432" s="38" t="s">
        <v>58</v>
      </c>
      <c r="G432" s="38" t="s">
        <v>24</v>
      </c>
      <c r="H432" s="38">
        <v>10</v>
      </c>
      <c r="I432" s="38">
        <v>28000</v>
      </c>
      <c r="J432" s="38">
        <v>0.05</v>
      </c>
      <c r="K432" s="38">
        <f t="shared" si="13"/>
        <v>266000</v>
      </c>
      <c r="L432" s="38" t="s">
        <v>44</v>
      </c>
      <c r="M432" s="38" t="s">
        <v>33</v>
      </c>
      <c r="N432" s="4" t="str">
        <f>IF(I432=_xlfn.XLOOKUP(F432,Lists!$D$2:$D$13,Lists!$E$2:$E$13,"Not Found"),"OK","Check Price")</f>
        <v>Check Price</v>
      </c>
    </row>
    <row r="433" spans="1:14" ht="15.5" hidden="1" thickTop="1" thickBot="1" x14ac:dyDescent="0.4">
      <c r="A433" s="36" t="str">
        <f t="shared" si="12"/>
        <v>ORD0432</v>
      </c>
      <c r="B433" s="34">
        <v>45987</v>
      </c>
      <c r="C433" s="37" t="s">
        <v>66</v>
      </c>
      <c r="D433" s="37" t="s">
        <v>17</v>
      </c>
      <c r="E433" s="37" t="s">
        <v>29</v>
      </c>
      <c r="F433" s="37" t="s">
        <v>57</v>
      </c>
      <c r="G433" s="37" t="s">
        <v>30</v>
      </c>
      <c r="H433" s="37">
        <v>3</v>
      </c>
      <c r="I433" s="37">
        <v>2500</v>
      </c>
      <c r="J433" s="37">
        <v>0.2</v>
      </c>
      <c r="K433" s="37">
        <f t="shared" si="13"/>
        <v>6000</v>
      </c>
      <c r="L433" s="37" t="s">
        <v>41</v>
      </c>
      <c r="M433" s="37" t="s">
        <v>27</v>
      </c>
      <c r="N433" s="4" t="str">
        <f>IF(I433=_xlfn.XLOOKUP(F433,Lists!$D$2:$D$13,Lists!$E$2:$E$13,"Not Found"),"OK","Check Price")</f>
        <v>Check Price</v>
      </c>
    </row>
    <row r="434" spans="1:14" ht="15.5" hidden="1" thickTop="1" thickBot="1" x14ac:dyDescent="0.4">
      <c r="A434" s="36" t="str">
        <f t="shared" si="12"/>
        <v>ORD0433</v>
      </c>
      <c r="B434" s="34">
        <v>45591</v>
      </c>
      <c r="C434" s="38" t="s">
        <v>78</v>
      </c>
      <c r="D434" s="38" t="s">
        <v>17</v>
      </c>
      <c r="E434" s="38" t="s">
        <v>79</v>
      </c>
      <c r="F434" s="38" t="s">
        <v>57</v>
      </c>
      <c r="G434" s="38" t="s">
        <v>24</v>
      </c>
      <c r="H434" s="38">
        <v>2</v>
      </c>
      <c r="I434" s="38">
        <v>85000</v>
      </c>
      <c r="J434" s="38">
        <v>0.15</v>
      </c>
      <c r="K434" s="38">
        <f t="shared" si="13"/>
        <v>144500</v>
      </c>
      <c r="L434" s="38" t="s">
        <v>56</v>
      </c>
      <c r="M434" s="38" t="s">
        <v>33</v>
      </c>
      <c r="N434" s="4" t="str">
        <f>IF(I434=_xlfn.XLOOKUP(F434,Lists!$D$2:$D$13,Lists!$E$2:$E$13,"Not Found"),"OK","Check Price")</f>
        <v>Check Price</v>
      </c>
    </row>
    <row r="435" spans="1:14" ht="15.5" thickTop="1" thickBot="1" x14ac:dyDescent="0.4">
      <c r="A435" s="36" t="str">
        <f t="shared" si="12"/>
        <v>ORD0434</v>
      </c>
      <c r="B435" s="34">
        <v>45531</v>
      </c>
      <c r="C435" s="37" t="s">
        <v>78</v>
      </c>
      <c r="D435" s="37" t="s">
        <v>42</v>
      </c>
      <c r="E435" s="37" t="s">
        <v>79</v>
      </c>
      <c r="F435" s="37" t="s">
        <v>20</v>
      </c>
      <c r="G435" s="35" t="str">
        <f>_xlfn.XLOOKUP(F435,Lists!$J$2:$J$13,Lists!$K$2:$K$13,"Not Found")</f>
        <v>Electronics</v>
      </c>
      <c r="H435" s="37">
        <v>3</v>
      </c>
      <c r="I435" s="35">
        <f>_xlfn.XLOOKUP(F435,Lists!$D$2:$D$13,Lists!$E$2:$E$13,"Not Found")</f>
        <v>85000</v>
      </c>
      <c r="J435" s="47">
        <v>0.1</v>
      </c>
      <c r="K435" s="35">
        <f>H435*I435*(1-J435)</f>
        <v>229500</v>
      </c>
      <c r="L435" s="37" t="s">
        <v>41</v>
      </c>
      <c r="M435" s="37" t="s">
        <v>38</v>
      </c>
      <c r="N435" s="4" t="str">
        <f>IF(I435=_xlfn.XLOOKUP(F435,Lists!$D$2:$D$13,Lists!$E$2:$E$13,"Not Found"),"OK","Check Price")</f>
        <v>OK</v>
      </c>
    </row>
    <row r="436" spans="1:14" ht="15.5" hidden="1" thickTop="1" thickBot="1" x14ac:dyDescent="0.4">
      <c r="A436" s="36" t="str">
        <f t="shared" si="12"/>
        <v>ORD0435</v>
      </c>
      <c r="B436" s="34">
        <v>45820</v>
      </c>
      <c r="C436" s="38" t="s">
        <v>76</v>
      </c>
      <c r="D436" s="38" t="s">
        <v>34</v>
      </c>
      <c r="E436" s="38" t="s">
        <v>80</v>
      </c>
      <c r="F436" s="38" t="s">
        <v>36</v>
      </c>
      <c r="G436" s="38" t="s">
        <v>19</v>
      </c>
      <c r="H436" s="38">
        <v>6</v>
      </c>
      <c r="I436" s="38">
        <v>4000</v>
      </c>
      <c r="J436" s="38">
        <v>0.1</v>
      </c>
      <c r="K436" s="38">
        <f t="shared" si="13"/>
        <v>21600</v>
      </c>
      <c r="L436" s="38" t="s">
        <v>44</v>
      </c>
      <c r="M436" s="38" t="s">
        <v>27</v>
      </c>
      <c r="N436" s="4" t="str">
        <f>IF(I436=_xlfn.XLOOKUP(F436,Lists!$D$2:$D$13,Lists!$E$2:$E$13,"Not Found"),"OK","Check Price")</f>
        <v>Check Price</v>
      </c>
    </row>
    <row r="437" spans="1:14" ht="15.5" thickTop="1" thickBot="1" x14ac:dyDescent="0.4">
      <c r="A437" s="36" t="str">
        <f t="shared" si="12"/>
        <v>ORD0436</v>
      </c>
      <c r="B437" s="34">
        <v>45467</v>
      </c>
      <c r="C437" s="37" t="s">
        <v>67</v>
      </c>
      <c r="D437" s="37" t="s">
        <v>42</v>
      </c>
      <c r="E437" s="37" t="s">
        <v>79</v>
      </c>
      <c r="F437" s="37" t="s">
        <v>55</v>
      </c>
      <c r="G437" s="35" t="str">
        <f>_xlfn.XLOOKUP(F437,Lists!$J$2:$J$13,Lists!$K$2:$K$13,"Not Found")</f>
        <v>Office Supplies</v>
      </c>
      <c r="H437" s="37">
        <v>6</v>
      </c>
      <c r="I437" s="35">
        <f>_xlfn.XLOOKUP(F437,Lists!$D$2:$D$13,Lists!$E$2:$E$13,"Not Found")</f>
        <v>1500</v>
      </c>
      <c r="J437" s="47">
        <v>0.15</v>
      </c>
      <c r="K437" s="35">
        <f>H437*I437*(1-J437)</f>
        <v>7650</v>
      </c>
      <c r="L437" s="37" t="s">
        <v>56</v>
      </c>
      <c r="M437" s="37" t="s">
        <v>22</v>
      </c>
      <c r="N437" s="4" t="str">
        <f>IF(I437=_xlfn.XLOOKUP(F437,Lists!$D$2:$D$13,Lists!$E$2:$E$13,"Not Found"),"OK","Check Price")</f>
        <v>OK</v>
      </c>
    </row>
    <row r="438" spans="1:14" ht="15.5" hidden="1" thickTop="1" thickBot="1" x14ac:dyDescent="0.4">
      <c r="A438" s="36" t="str">
        <f t="shared" si="12"/>
        <v>ORD0437</v>
      </c>
      <c r="B438" s="34">
        <v>45416</v>
      </c>
      <c r="C438" s="38" t="s">
        <v>71</v>
      </c>
      <c r="D438" s="38" t="s">
        <v>39</v>
      </c>
      <c r="E438" s="38" t="s">
        <v>119</v>
      </c>
      <c r="F438" s="38" t="s">
        <v>36</v>
      </c>
      <c r="G438" s="38" t="s">
        <v>30</v>
      </c>
      <c r="H438" s="38">
        <v>9</v>
      </c>
      <c r="I438" s="38">
        <v>1200</v>
      </c>
      <c r="J438" s="38">
        <v>0.05</v>
      </c>
      <c r="K438" s="38">
        <f t="shared" si="13"/>
        <v>10260</v>
      </c>
      <c r="L438" s="38" t="s">
        <v>50</v>
      </c>
      <c r="M438" s="38" t="s">
        <v>27</v>
      </c>
      <c r="N438" s="4" t="str">
        <f>IF(I438=_xlfn.XLOOKUP(F438,Lists!$D$2:$D$13,Lists!$E$2:$E$13,"Not Found"),"OK","Check Price")</f>
        <v>Check Price</v>
      </c>
    </row>
    <row r="439" spans="1:14" ht="15.5" hidden="1" thickTop="1" thickBot="1" x14ac:dyDescent="0.4">
      <c r="A439" s="36" t="str">
        <f t="shared" si="12"/>
        <v>ORD0438</v>
      </c>
      <c r="B439" s="34">
        <v>45359</v>
      </c>
      <c r="C439" s="37" t="s">
        <v>72</v>
      </c>
      <c r="D439" s="37" t="s">
        <v>23</v>
      </c>
      <c r="E439" s="37" t="s">
        <v>119</v>
      </c>
      <c r="F439" s="37" t="s">
        <v>52</v>
      </c>
      <c r="G439" s="37" t="s">
        <v>30</v>
      </c>
      <c r="H439" s="37">
        <v>10</v>
      </c>
      <c r="I439" s="37">
        <v>350</v>
      </c>
      <c r="J439" s="37">
        <v>0.1</v>
      </c>
      <c r="K439" s="37">
        <f t="shared" si="13"/>
        <v>3150</v>
      </c>
      <c r="L439" s="37" t="s">
        <v>56</v>
      </c>
      <c r="M439" s="37" t="s">
        <v>38</v>
      </c>
      <c r="N439" s="4" t="str">
        <f>IF(I439=_xlfn.XLOOKUP(F439,Lists!$D$2:$D$13,Lists!$E$2:$E$13,"Not Found"),"OK","Check Price")</f>
        <v>Check Price</v>
      </c>
    </row>
    <row r="440" spans="1:14" ht="15.5" hidden="1" thickTop="1" thickBot="1" x14ac:dyDescent="0.4">
      <c r="A440" s="36" t="str">
        <f t="shared" si="12"/>
        <v>ORD0439</v>
      </c>
      <c r="B440" s="34">
        <v>45907</v>
      </c>
      <c r="C440" s="38" t="s">
        <v>63</v>
      </c>
      <c r="D440" s="38" t="s">
        <v>42</v>
      </c>
      <c r="E440" s="38" t="s">
        <v>119</v>
      </c>
      <c r="F440" s="38" t="s">
        <v>36</v>
      </c>
      <c r="G440" s="38" t="s">
        <v>19</v>
      </c>
      <c r="H440" s="38">
        <v>5</v>
      </c>
      <c r="I440" s="38">
        <v>28000</v>
      </c>
      <c r="J440" s="38">
        <v>0.05</v>
      </c>
      <c r="K440" s="38">
        <f t="shared" si="13"/>
        <v>133000</v>
      </c>
      <c r="L440" s="38" t="s">
        <v>56</v>
      </c>
      <c r="M440" s="38" t="s">
        <v>38</v>
      </c>
      <c r="N440" s="4" t="str">
        <f>IF(I440=_xlfn.XLOOKUP(F440,Lists!$D$2:$D$13,Lists!$E$2:$E$13,"Not Found"),"OK","Check Price")</f>
        <v>Check Price</v>
      </c>
    </row>
    <row r="441" spans="1:14" ht="15.5" hidden="1" thickTop="1" thickBot="1" x14ac:dyDescent="0.4">
      <c r="A441" s="36" t="str">
        <f t="shared" si="12"/>
        <v>ORD0440</v>
      </c>
      <c r="B441" s="34">
        <v>45535</v>
      </c>
      <c r="C441" s="37" t="s">
        <v>64</v>
      </c>
      <c r="D441" s="37" t="s">
        <v>45</v>
      </c>
      <c r="E441" s="37" t="s">
        <v>35</v>
      </c>
      <c r="F441" s="37" t="s">
        <v>25</v>
      </c>
      <c r="G441" s="37" t="s">
        <v>24</v>
      </c>
      <c r="H441" s="37">
        <v>5</v>
      </c>
      <c r="I441" s="37">
        <v>85000</v>
      </c>
      <c r="J441" s="37">
        <v>0.05</v>
      </c>
      <c r="K441" s="37">
        <f t="shared" si="13"/>
        <v>403750</v>
      </c>
      <c r="L441" s="37" t="s">
        <v>21</v>
      </c>
      <c r="M441" s="37" t="s">
        <v>38</v>
      </c>
      <c r="N441" s="4" t="str">
        <f>IF(I441=_xlfn.XLOOKUP(F441,Lists!$D$2:$D$13,Lists!$E$2:$E$13,"Not Found"),"OK","Check Price")</f>
        <v>Check Price</v>
      </c>
    </row>
    <row r="442" spans="1:14" ht="15.5" thickTop="1" thickBot="1" x14ac:dyDescent="0.4">
      <c r="A442" s="36" t="str">
        <f t="shared" si="12"/>
        <v>ORD0441</v>
      </c>
      <c r="B442" s="34">
        <v>45487</v>
      </c>
      <c r="C442" s="38" t="s">
        <v>64</v>
      </c>
      <c r="D442" s="38" t="s">
        <v>39</v>
      </c>
      <c r="E442" s="38" t="s">
        <v>29</v>
      </c>
      <c r="F442" s="38" t="s">
        <v>55</v>
      </c>
      <c r="G442" s="35" t="str">
        <f>_xlfn.XLOOKUP(F442,Lists!$J$2:$J$13,Lists!$K$2:$K$13,"Not Found")</f>
        <v>Office Supplies</v>
      </c>
      <c r="H442" s="38">
        <v>2</v>
      </c>
      <c r="I442" s="35">
        <f>_xlfn.XLOOKUP(F442,Lists!$D$2:$D$13,Lists!$E$2:$E$13,"Not Found")</f>
        <v>1500</v>
      </c>
      <c r="J442" s="48">
        <v>0.2</v>
      </c>
      <c r="K442" s="35">
        <f>H442*I442*(1-J442)</f>
        <v>2400</v>
      </c>
      <c r="L442" s="38" t="s">
        <v>32</v>
      </c>
      <c r="M442" s="38" t="s">
        <v>33</v>
      </c>
      <c r="N442" s="4" t="str">
        <f>IF(I442=_xlfn.XLOOKUP(F442,Lists!$D$2:$D$13,Lists!$E$2:$E$13,"Not Found"),"OK","Check Price")</f>
        <v>OK</v>
      </c>
    </row>
    <row r="443" spans="1:14" ht="15.5" hidden="1" thickTop="1" thickBot="1" x14ac:dyDescent="0.4">
      <c r="A443" s="36" t="str">
        <f t="shared" si="12"/>
        <v>ORD0442</v>
      </c>
      <c r="B443" s="34">
        <v>45326</v>
      </c>
      <c r="C443" s="37" t="s">
        <v>75</v>
      </c>
      <c r="D443" s="37" t="s">
        <v>51</v>
      </c>
      <c r="E443" s="37" t="s">
        <v>35</v>
      </c>
      <c r="F443" s="37" t="s">
        <v>57</v>
      </c>
      <c r="G443" s="37" t="s">
        <v>24</v>
      </c>
      <c r="H443" s="37">
        <v>1</v>
      </c>
      <c r="I443" s="37">
        <v>12000</v>
      </c>
      <c r="J443" s="37">
        <v>0.1</v>
      </c>
      <c r="K443" s="37">
        <f t="shared" si="13"/>
        <v>10800</v>
      </c>
      <c r="L443" s="37" t="s">
        <v>56</v>
      </c>
      <c r="M443" s="37" t="s">
        <v>38</v>
      </c>
      <c r="N443" s="4" t="str">
        <f>IF(I443=_xlfn.XLOOKUP(F443,Lists!$D$2:$D$13,Lists!$E$2:$E$13,"Not Found"),"OK","Check Price")</f>
        <v>Check Price</v>
      </c>
    </row>
    <row r="444" spans="1:14" ht="15.5" hidden="1" thickTop="1" thickBot="1" x14ac:dyDescent="0.4">
      <c r="A444" s="36" t="str">
        <f t="shared" si="12"/>
        <v>ORD0443</v>
      </c>
      <c r="B444" s="34">
        <v>45575</v>
      </c>
      <c r="C444" s="38" t="s">
        <v>76</v>
      </c>
      <c r="D444" s="38" t="s">
        <v>51</v>
      </c>
      <c r="E444" s="38" t="s">
        <v>29</v>
      </c>
      <c r="F444" s="38" t="s">
        <v>31</v>
      </c>
      <c r="G444" s="38" t="s">
        <v>30</v>
      </c>
      <c r="H444" s="38">
        <v>10</v>
      </c>
      <c r="I444" s="38">
        <v>30000</v>
      </c>
      <c r="J444" s="38">
        <v>0.2</v>
      </c>
      <c r="K444" s="38">
        <f t="shared" si="13"/>
        <v>240000</v>
      </c>
      <c r="L444" s="38" t="s">
        <v>32</v>
      </c>
      <c r="M444" s="38" t="s">
        <v>22</v>
      </c>
      <c r="N444" s="4" t="str">
        <f>IF(I444=_xlfn.XLOOKUP(F444,Lists!$D$2:$D$13,Lists!$E$2:$E$13,"Not Found"),"OK","Check Price")</f>
        <v>Check Price</v>
      </c>
    </row>
    <row r="445" spans="1:14" ht="15.5" hidden="1" thickTop="1" thickBot="1" x14ac:dyDescent="0.4">
      <c r="A445" s="36" t="str">
        <f t="shared" si="12"/>
        <v>ORD0444</v>
      </c>
      <c r="B445" s="34">
        <v>45832</v>
      </c>
      <c r="C445" s="37" t="s">
        <v>70</v>
      </c>
      <c r="D445" s="37" t="s">
        <v>17</v>
      </c>
      <c r="E445" s="37" t="s">
        <v>119</v>
      </c>
      <c r="F445" s="37" t="s">
        <v>58</v>
      </c>
      <c r="G445" s="37" t="s">
        <v>19</v>
      </c>
      <c r="H445" s="37">
        <v>7</v>
      </c>
      <c r="I445" s="37">
        <v>30000</v>
      </c>
      <c r="J445" s="37">
        <v>0.25</v>
      </c>
      <c r="K445" s="37">
        <f t="shared" si="13"/>
        <v>157500</v>
      </c>
      <c r="L445" s="37" t="s">
        <v>50</v>
      </c>
      <c r="M445" s="37" t="s">
        <v>38</v>
      </c>
      <c r="N445" s="4" t="str">
        <f>IF(I445=_xlfn.XLOOKUP(F445,Lists!$D$2:$D$13,Lists!$E$2:$E$13,"Not Found"),"OK","Check Price")</f>
        <v>Check Price</v>
      </c>
    </row>
    <row r="446" spans="1:14" ht="15.5" hidden="1" thickTop="1" thickBot="1" x14ac:dyDescent="0.4">
      <c r="A446" s="36" t="str">
        <f t="shared" si="12"/>
        <v>ORD0445</v>
      </c>
      <c r="B446" s="34">
        <v>45962</v>
      </c>
      <c r="C446" s="38" t="s">
        <v>70</v>
      </c>
      <c r="D446" s="38" t="s">
        <v>42</v>
      </c>
      <c r="E446" s="38" t="s">
        <v>35</v>
      </c>
      <c r="F446" s="38" t="s">
        <v>58</v>
      </c>
      <c r="G446" s="38" t="s">
        <v>30</v>
      </c>
      <c r="H446" s="38">
        <v>8</v>
      </c>
      <c r="I446" s="38">
        <v>350</v>
      </c>
      <c r="J446" s="38">
        <v>0.05</v>
      </c>
      <c r="K446" s="38">
        <f t="shared" si="13"/>
        <v>2660</v>
      </c>
      <c r="L446" s="38" t="s">
        <v>47</v>
      </c>
      <c r="M446" s="38" t="s">
        <v>27</v>
      </c>
      <c r="N446" s="4" t="str">
        <f>IF(I446=_xlfn.XLOOKUP(F446,Lists!$D$2:$D$13,Lists!$E$2:$E$13,"Not Found"),"OK","Check Price")</f>
        <v>Check Price</v>
      </c>
    </row>
    <row r="447" spans="1:14" ht="15.5" thickTop="1" thickBot="1" x14ac:dyDescent="0.4">
      <c r="A447" s="36" t="str">
        <f t="shared" si="12"/>
        <v>ORD0446</v>
      </c>
      <c r="B447" s="34">
        <v>45684</v>
      </c>
      <c r="C447" s="37" t="s">
        <v>61</v>
      </c>
      <c r="D447" s="37" t="s">
        <v>54</v>
      </c>
      <c r="E447" s="37" t="s">
        <v>119</v>
      </c>
      <c r="F447" s="37" t="s">
        <v>20</v>
      </c>
      <c r="G447" s="35" t="str">
        <f>_xlfn.XLOOKUP(F447,Lists!$J$2:$J$13,Lists!$K$2:$K$13,"Not Found")</f>
        <v>Electronics</v>
      </c>
      <c r="H447" s="37">
        <v>10</v>
      </c>
      <c r="I447" s="35">
        <f>_xlfn.XLOOKUP(F447,Lists!$D$2:$D$13,Lists!$E$2:$E$13,"Not Found")</f>
        <v>85000</v>
      </c>
      <c r="J447" s="47">
        <v>0.1</v>
      </c>
      <c r="K447" s="35">
        <f t="shared" si="13"/>
        <v>765000</v>
      </c>
      <c r="L447" s="37" t="s">
        <v>21</v>
      </c>
      <c r="M447" s="37" t="s">
        <v>38</v>
      </c>
      <c r="N447" s="4" t="str">
        <f>IF(I447=_xlfn.XLOOKUP(F447,Lists!$D$2:$D$13,Lists!$E$2:$E$13,"Not Found"),"OK","Check Price")</f>
        <v>OK</v>
      </c>
    </row>
    <row r="448" spans="1:14" ht="15.5" thickTop="1" thickBot="1" x14ac:dyDescent="0.4">
      <c r="A448" s="36" t="str">
        <f t="shared" si="12"/>
        <v>ORD0447</v>
      </c>
      <c r="B448" s="34">
        <v>45792</v>
      </c>
      <c r="C448" s="38" t="s">
        <v>76</v>
      </c>
      <c r="D448" s="38" t="s">
        <v>45</v>
      </c>
      <c r="E448" s="38" t="s">
        <v>80</v>
      </c>
      <c r="F448" s="38" t="s">
        <v>46</v>
      </c>
      <c r="G448" s="35" t="str">
        <f>_xlfn.XLOOKUP(F448,Lists!$J$2:$J$13,Lists!$K$2:$K$13,"Not Found")</f>
        <v>Furniture</v>
      </c>
      <c r="H448" s="38">
        <v>4</v>
      </c>
      <c r="I448" s="35">
        <f>_xlfn.XLOOKUP(F448,Lists!$D$2:$D$13,Lists!$E$2:$E$13,"Not Found")</f>
        <v>22000</v>
      </c>
      <c r="J448" s="48">
        <v>0.25</v>
      </c>
      <c r="K448" s="35">
        <f t="shared" si="13"/>
        <v>66000</v>
      </c>
      <c r="L448" s="38" t="s">
        <v>37</v>
      </c>
      <c r="M448" s="38" t="s">
        <v>27</v>
      </c>
      <c r="N448" s="4" t="str">
        <f>IF(I448=_xlfn.XLOOKUP(F448,Lists!$D$2:$D$13,Lists!$E$2:$E$13,"Not Found"),"OK","Check Price")</f>
        <v>OK</v>
      </c>
    </row>
    <row r="449" spans="1:14" ht="15.5" hidden="1" thickTop="1" thickBot="1" x14ac:dyDescent="0.4">
      <c r="A449" s="36" t="str">
        <f t="shared" si="12"/>
        <v>ORD0448</v>
      </c>
      <c r="B449" s="34">
        <v>45724</v>
      </c>
      <c r="C449" s="37" t="s">
        <v>63</v>
      </c>
      <c r="D449" s="37" t="s">
        <v>34</v>
      </c>
      <c r="E449" s="37" t="s">
        <v>18</v>
      </c>
      <c r="F449" s="37" t="s">
        <v>25</v>
      </c>
      <c r="G449" s="37" t="s">
        <v>19</v>
      </c>
      <c r="H449" s="37">
        <v>7</v>
      </c>
      <c r="I449" s="37">
        <v>1500</v>
      </c>
      <c r="J449" s="37">
        <v>0.2</v>
      </c>
      <c r="K449" s="37">
        <f t="shared" si="13"/>
        <v>8400</v>
      </c>
      <c r="L449" s="37" t="s">
        <v>26</v>
      </c>
      <c r="M449" s="37" t="s">
        <v>22</v>
      </c>
      <c r="N449" s="4" t="str">
        <f>IF(I449=_xlfn.XLOOKUP(F449,Lists!$D$2:$D$13,Lists!$E$2:$E$13,"Not Found"),"OK","Check Price")</f>
        <v>Check Price</v>
      </c>
    </row>
    <row r="450" spans="1:14" ht="15.5" hidden="1" thickTop="1" thickBot="1" x14ac:dyDescent="0.4">
      <c r="A450" s="36" t="str">
        <f t="shared" si="12"/>
        <v>ORD0449</v>
      </c>
      <c r="B450" s="34">
        <v>45814</v>
      </c>
      <c r="C450" s="38" t="s">
        <v>65</v>
      </c>
      <c r="D450" s="38" t="s">
        <v>23</v>
      </c>
      <c r="E450" s="38" t="s">
        <v>80</v>
      </c>
      <c r="F450" s="38" t="s">
        <v>36</v>
      </c>
      <c r="G450" s="38" t="s">
        <v>30</v>
      </c>
      <c r="H450" s="38">
        <v>3</v>
      </c>
      <c r="I450" s="38">
        <v>2000</v>
      </c>
      <c r="J450" s="38">
        <v>0.25</v>
      </c>
      <c r="K450" s="38">
        <f t="shared" si="13"/>
        <v>4500</v>
      </c>
      <c r="L450" s="38" t="s">
        <v>50</v>
      </c>
      <c r="M450" s="38" t="s">
        <v>38</v>
      </c>
      <c r="N450" s="4" t="str">
        <f>IF(I450=_xlfn.XLOOKUP(F450,Lists!$D$2:$D$13,Lists!$E$2:$E$13,"Not Found"),"OK","Check Price")</f>
        <v>Check Price</v>
      </c>
    </row>
    <row r="451" spans="1:14" ht="15.5" hidden="1" thickTop="1" thickBot="1" x14ac:dyDescent="0.4">
      <c r="A451" s="36" t="str">
        <f t="shared" ref="A451:A514" si="14">"ORD"&amp;TEXT(ROW()-1,"0000")</f>
        <v>ORD0450</v>
      </c>
      <c r="B451" s="34">
        <v>45320</v>
      </c>
      <c r="C451" s="37" t="s">
        <v>70</v>
      </c>
      <c r="D451" s="37" t="s">
        <v>17</v>
      </c>
      <c r="E451" s="37" t="s">
        <v>18</v>
      </c>
      <c r="F451" s="37" t="s">
        <v>49</v>
      </c>
      <c r="G451" s="37" t="s">
        <v>19</v>
      </c>
      <c r="H451" s="37">
        <v>8</v>
      </c>
      <c r="I451" s="37">
        <v>1200</v>
      </c>
      <c r="J451" s="37">
        <v>0.05</v>
      </c>
      <c r="K451" s="37">
        <f t="shared" ref="K451:K513" si="15">H451*I451*(1-J451)</f>
        <v>9120</v>
      </c>
      <c r="L451" s="37" t="s">
        <v>26</v>
      </c>
      <c r="M451" s="37" t="s">
        <v>33</v>
      </c>
      <c r="N451" s="4" t="str">
        <f>IF(I451=_xlfn.XLOOKUP(F451,Lists!$D$2:$D$13,Lists!$E$2:$E$13,"Not Found"),"OK","Check Price")</f>
        <v>Check Price</v>
      </c>
    </row>
    <row r="452" spans="1:14" ht="15.5" hidden="1" thickTop="1" thickBot="1" x14ac:dyDescent="0.4">
      <c r="A452" s="36" t="str">
        <f t="shared" si="14"/>
        <v>ORD0451</v>
      </c>
      <c r="B452" s="34">
        <v>45643</v>
      </c>
      <c r="C452" s="38" t="s">
        <v>72</v>
      </c>
      <c r="D452" s="38" t="s">
        <v>39</v>
      </c>
      <c r="E452" s="38" t="s">
        <v>79</v>
      </c>
      <c r="F452" s="38" t="s">
        <v>57</v>
      </c>
      <c r="G452" s="38" t="s">
        <v>24</v>
      </c>
      <c r="H452" s="38">
        <v>6</v>
      </c>
      <c r="I452" s="38">
        <v>22000</v>
      </c>
      <c r="J452" s="38">
        <v>0.15</v>
      </c>
      <c r="K452" s="38">
        <f t="shared" si="15"/>
        <v>112200</v>
      </c>
      <c r="L452" s="38" t="s">
        <v>26</v>
      </c>
      <c r="M452" s="38" t="s">
        <v>33</v>
      </c>
      <c r="N452" s="4" t="str">
        <f>IF(I452=_xlfn.XLOOKUP(F452,Lists!$D$2:$D$13,Lists!$E$2:$E$13,"Not Found"),"OK","Check Price")</f>
        <v>Check Price</v>
      </c>
    </row>
    <row r="453" spans="1:14" ht="15.5" hidden="1" thickTop="1" thickBot="1" x14ac:dyDescent="0.4">
      <c r="A453" s="36" t="str">
        <f t="shared" si="14"/>
        <v>ORD0452</v>
      </c>
      <c r="B453" s="34">
        <v>45602</v>
      </c>
      <c r="C453" s="37" t="s">
        <v>74</v>
      </c>
      <c r="D453" s="37" t="s">
        <v>51</v>
      </c>
      <c r="E453" s="37" t="s">
        <v>29</v>
      </c>
      <c r="F453" s="37" t="s">
        <v>31</v>
      </c>
      <c r="G453" s="37" t="s">
        <v>19</v>
      </c>
      <c r="H453" s="37">
        <v>10</v>
      </c>
      <c r="I453" s="37">
        <v>5000</v>
      </c>
      <c r="J453" s="37">
        <v>0.05</v>
      </c>
      <c r="K453" s="37">
        <f t="shared" si="15"/>
        <v>47500</v>
      </c>
      <c r="L453" s="37" t="s">
        <v>26</v>
      </c>
      <c r="M453" s="37" t="s">
        <v>27</v>
      </c>
      <c r="N453" s="4" t="str">
        <f>IF(I453=_xlfn.XLOOKUP(F453,Lists!$D$2:$D$13,Lists!$E$2:$E$13,"Not Found"),"OK","Check Price")</f>
        <v>Check Price</v>
      </c>
    </row>
    <row r="454" spans="1:14" ht="15.5" hidden="1" thickTop="1" thickBot="1" x14ac:dyDescent="0.4">
      <c r="A454" s="36" t="str">
        <f t="shared" si="14"/>
        <v>ORD0453</v>
      </c>
      <c r="B454" s="34">
        <v>45830</v>
      </c>
      <c r="C454" s="38" t="s">
        <v>74</v>
      </c>
      <c r="D454" s="38" t="s">
        <v>54</v>
      </c>
      <c r="E454" s="38" t="s">
        <v>18</v>
      </c>
      <c r="F454" s="38" t="s">
        <v>43</v>
      </c>
      <c r="G454" s="38" t="s">
        <v>24</v>
      </c>
      <c r="H454" s="38">
        <v>5</v>
      </c>
      <c r="I454" s="38">
        <v>2000</v>
      </c>
      <c r="J454" s="38">
        <v>0.1</v>
      </c>
      <c r="K454" s="38">
        <f t="shared" si="15"/>
        <v>9000</v>
      </c>
      <c r="L454" s="38" t="s">
        <v>26</v>
      </c>
      <c r="M454" s="38" t="s">
        <v>22</v>
      </c>
      <c r="N454" s="4" t="str">
        <f>IF(I454=_xlfn.XLOOKUP(F454,Lists!$D$2:$D$13,Lists!$E$2:$E$13,"Not Found"),"OK","Check Price")</f>
        <v>Check Price</v>
      </c>
    </row>
    <row r="455" spans="1:14" ht="15.5" hidden="1" thickTop="1" thickBot="1" x14ac:dyDescent="0.4">
      <c r="A455" s="36" t="str">
        <f t="shared" si="14"/>
        <v>ORD0454</v>
      </c>
      <c r="B455" s="34">
        <v>45380</v>
      </c>
      <c r="C455" s="37" t="s">
        <v>77</v>
      </c>
      <c r="D455" s="37" t="s">
        <v>34</v>
      </c>
      <c r="E455" s="37" t="s">
        <v>35</v>
      </c>
      <c r="F455" s="37" t="s">
        <v>40</v>
      </c>
      <c r="G455" s="37" t="s">
        <v>19</v>
      </c>
      <c r="H455" s="37">
        <v>6</v>
      </c>
      <c r="I455" s="37">
        <v>12000</v>
      </c>
      <c r="J455" s="37">
        <v>0.15</v>
      </c>
      <c r="K455" s="37">
        <f t="shared" si="15"/>
        <v>61200</v>
      </c>
      <c r="L455" s="37" t="s">
        <v>32</v>
      </c>
      <c r="M455" s="37" t="s">
        <v>27</v>
      </c>
      <c r="N455" s="4" t="str">
        <f>IF(I455=_xlfn.XLOOKUP(F455,Lists!$D$2:$D$13,Lists!$E$2:$E$13,"Not Found"),"OK","Check Price")</f>
        <v>Check Price</v>
      </c>
    </row>
    <row r="456" spans="1:14" ht="15.5" thickTop="1" thickBot="1" x14ac:dyDescent="0.4">
      <c r="A456" s="36" t="str">
        <f t="shared" si="14"/>
        <v>ORD0455</v>
      </c>
      <c r="B456" s="34">
        <v>45850</v>
      </c>
      <c r="C456" s="38" t="s">
        <v>67</v>
      </c>
      <c r="D456" s="38" t="s">
        <v>54</v>
      </c>
      <c r="E456" s="38" t="s">
        <v>35</v>
      </c>
      <c r="F456" s="38" t="s">
        <v>20</v>
      </c>
      <c r="G456" s="35" t="str">
        <f>_xlfn.XLOOKUP(F456,Lists!$J$2:$J$13,Lists!$K$2:$K$13,"Not Found")</f>
        <v>Electronics</v>
      </c>
      <c r="H456" s="38">
        <v>5</v>
      </c>
      <c r="I456" s="35">
        <f>_xlfn.XLOOKUP(F456,Lists!$D$2:$D$13,Lists!$E$2:$E$13,"Not Found")</f>
        <v>85000</v>
      </c>
      <c r="J456" s="48">
        <v>0.15</v>
      </c>
      <c r="K456" s="35">
        <f>H456*I456*(1-J456)</f>
        <v>361250</v>
      </c>
      <c r="L456" s="38" t="s">
        <v>21</v>
      </c>
      <c r="M456" s="38" t="s">
        <v>38</v>
      </c>
      <c r="N456" s="4" t="str">
        <f>IF(I456=_xlfn.XLOOKUP(F456,Lists!$D$2:$D$13,Lists!$E$2:$E$13,"Not Found"),"OK","Check Price")</f>
        <v>OK</v>
      </c>
    </row>
    <row r="457" spans="1:14" ht="15.5" hidden="1" thickTop="1" thickBot="1" x14ac:dyDescent="0.4">
      <c r="A457" s="36" t="str">
        <f t="shared" si="14"/>
        <v>ORD0456</v>
      </c>
      <c r="B457" s="34">
        <v>45930</v>
      </c>
      <c r="C457" s="37" t="s">
        <v>69</v>
      </c>
      <c r="D457" s="37" t="s">
        <v>34</v>
      </c>
      <c r="E457" s="37" t="s">
        <v>119</v>
      </c>
      <c r="F457" s="37" t="s">
        <v>57</v>
      </c>
      <c r="G457" s="37" t="s">
        <v>30</v>
      </c>
      <c r="H457" s="37">
        <v>10</v>
      </c>
      <c r="I457" s="37">
        <v>28000</v>
      </c>
      <c r="J457" s="37">
        <v>0.05</v>
      </c>
      <c r="K457" s="37">
        <f t="shared" si="15"/>
        <v>266000</v>
      </c>
      <c r="L457" s="37" t="s">
        <v>47</v>
      </c>
      <c r="M457" s="37" t="s">
        <v>27</v>
      </c>
      <c r="N457" s="4" t="str">
        <f>IF(I457=_xlfn.XLOOKUP(F457,Lists!$D$2:$D$13,Lists!$E$2:$E$13,"Not Found"),"OK","Check Price")</f>
        <v>Check Price</v>
      </c>
    </row>
    <row r="458" spans="1:14" ht="15.5" thickTop="1" thickBot="1" x14ac:dyDescent="0.4">
      <c r="A458" s="36" t="str">
        <f t="shared" si="14"/>
        <v>ORD0457</v>
      </c>
      <c r="B458" s="34">
        <v>45983</v>
      </c>
      <c r="C458" s="38" t="s">
        <v>61</v>
      </c>
      <c r="D458" s="38" t="s">
        <v>23</v>
      </c>
      <c r="E458" s="38" t="s">
        <v>35</v>
      </c>
      <c r="F458" s="38" t="s">
        <v>55</v>
      </c>
      <c r="G458" s="35" t="str">
        <f>_xlfn.XLOOKUP(F458,Lists!$J$2:$J$13,Lists!$K$2:$K$13,"Not Found")</f>
        <v>Office Supplies</v>
      </c>
      <c r="H458" s="38">
        <v>10</v>
      </c>
      <c r="I458" s="35">
        <f>_xlfn.XLOOKUP(F458,Lists!$D$2:$D$13,Lists!$E$2:$E$13,"Not Found")</f>
        <v>1500</v>
      </c>
      <c r="J458" s="48">
        <v>0.05</v>
      </c>
      <c r="K458" s="35">
        <f>H458*I458*(1-J458)</f>
        <v>14250</v>
      </c>
      <c r="L458" s="38" t="s">
        <v>44</v>
      </c>
      <c r="M458" s="38" t="s">
        <v>27</v>
      </c>
      <c r="N458" s="4" t="str">
        <f>IF(I458=_xlfn.XLOOKUP(F458,Lists!$D$2:$D$13,Lists!$E$2:$E$13,"Not Found"),"OK","Check Price")</f>
        <v>OK</v>
      </c>
    </row>
    <row r="459" spans="1:14" ht="15.5" hidden="1" thickTop="1" thickBot="1" x14ac:dyDescent="0.4">
      <c r="A459" s="36" t="str">
        <f t="shared" si="14"/>
        <v>ORD0458</v>
      </c>
      <c r="B459" s="34">
        <v>45313</v>
      </c>
      <c r="C459" s="37" t="s">
        <v>67</v>
      </c>
      <c r="D459" s="37" t="s">
        <v>45</v>
      </c>
      <c r="E459" s="37" t="s">
        <v>119</v>
      </c>
      <c r="F459" s="37" t="s">
        <v>31</v>
      </c>
      <c r="G459" s="37" t="s">
        <v>24</v>
      </c>
      <c r="H459" s="37">
        <v>6</v>
      </c>
      <c r="I459" s="37">
        <v>4000</v>
      </c>
      <c r="J459" s="37">
        <v>0.1</v>
      </c>
      <c r="K459" s="37">
        <f t="shared" si="15"/>
        <v>21600</v>
      </c>
      <c r="L459" s="37" t="s">
        <v>53</v>
      </c>
      <c r="M459" s="37" t="s">
        <v>38</v>
      </c>
      <c r="N459" s="4" t="str">
        <f>IF(I459=_xlfn.XLOOKUP(F459,Lists!$D$2:$D$13,Lists!$E$2:$E$13,"Not Found"),"OK","Check Price")</f>
        <v>OK</v>
      </c>
    </row>
    <row r="460" spans="1:14" ht="15.5" hidden="1" thickTop="1" thickBot="1" x14ac:dyDescent="0.4">
      <c r="A460" s="36" t="str">
        <f t="shared" si="14"/>
        <v>ORD0459</v>
      </c>
      <c r="B460" s="34">
        <v>45609</v>
      </c>
      <c r="C460" s="38" t="s">
        <v>60</v>
      </c>
      <c r="D460" s="38" t="s">
        <v>23</v>
      </c>
      <c r="E460" s="38" t="s">
        <v>35</v>
      </c>
      <c r="F460" s="38" t="s">
        <v>40</v>
      </c>
      <c r="G460" s="38" t="s">
        <v>24</v>
      </c>
      <c r="H460" s="38">
        <v>1</v>
      </c>
      <c r="I460" s="38">
        <v>22000</v>
      </c>
      <c r="J460" s="38">
        <v>0.05</v>
      </c>
      <c r="K460" s="38">
        <f t="shared" si="15"/>
        <v>20900</v>
      </c>
      <c r="L460" s="38" t="s">
        <v>53</v>
      </c>
      <c r="M460" s="38" t="s">
        <v>33</v>
      </c>
      <c r="N460" s="4" t="str">
        <f>IF(I460=_xlfn.XLOOKUP(F460,Lists!$D$2:$D$13,Lists!$E$2:$E$13,"Not Found"),"OK","Check Price")</f>
        <v>Check Price</v>
      </c>
    </row>
    <row r="461" spans="1:14" ht="15.5" hidden="1" thickTop="1" thickBot="1" x14ac:dyDescent="0.4">
      <c r="A461" s="36" t="str">
        <f t="shared" si="14"/>
        <v>ORD0460</v>
      </c>
      <c r="B461" s="34">
        <v>45437</v>
      </c>
      <c r="C461" s="37" t="s">
        <v>68</v>
      </c>
      <c r="D461" s="37" t="s">
        <v>17</v>
      </c>
      <c r="E461" s="37" t="s">
        <v>29</v>
      </c>
      <c r="F461" s="37" t="s">
        <v>25</v>
      </c>
      <c r="G461" s="37" t="s">
        <v>30</v>
      </c>
      <c r="H461" s="37">
        <v>9</v>
      </c>
      <c r="I461" s="37">
        <v>12000</v>
      </c>
      <c r="J461" s="37">
        <v>0.25</v>
      </c>
      <c r="K461" s="37">
        <f t="shared" si="15"/>
        <v>81000</v>
      </c>
      <c r="L461" s="37" t="s">
        <v>47</v>
      </c>
      <c r="M461" s="37" t="s">
        <v>33</v>
      </c>
      <c r="N461" s="4" t="str">
        <f>IF(I461=_xlfn.XLOOKUP(F461,Lists!$D$2:$D$13,Lists!$E$2:$E$13,"Not Found"),"OK","Check Price")</f>
        <v>Check Price</v>
      </c>
    </row>
    <row r="462" spans="1:14" ht="15.5" thickTop="1" thickBot="1" x14ac:dyDescent="0.4">
      <c r="A462" s="36" t="str">
        <f t="shared" si="14"/>
        <v>ORD0461</v>
      </c>
      <c r="B462" s="34">
        <v>45623</v>
      </c>
      <c r="C462" s="38" t="s">
        <v>65</v>
      </c>
      <c r="D462" s="38" t="s">
        <v>54</v>
      </c>
      <c r="E462" s="38" t="s">
        <v>79</v>
      </c>
      <c r="F462" s="38" t="s">
        <v>46</v>
      </c>
      <c r="G462" s="35" t="str">
        <f>_xlfn.XLOOKUP(F462,Lists!$J$2:$J$13,Lists!$K$2:$K$13,"Not Found")</f>
        <v>Furniture</v>
      </c>
      <c r="H462" s="38">
        <v>9</v>
      </c>
      <c r="I462" s="35">
        <f>_xlfn.XLOOKUP(F462,Lists!$D$2:$D$13,Lists!$E$2:$E$13,"Not Found")</f>
        <v>22000</v>
      </c>
      <c r="J462" s="48">
        <v>0.25</v>
      </c>
      <c r="K462" s="35">
        <f t="shared" si="15"/>
        <v>148500</v>
      </c>
      <c r="L462" s="38" t="s">
        <v>26</v>
      </c>
      <c r="M462" s="38" t="s">
        <v>33</v>
      </c>
      <c r="N462" s="4" t="str">
        <f>IF(I462=_xlfn.XLOOKUP(F462,Lists!$D$2:$D$13,Lists!$E$2:$E$13,"Not Found"),"OK","Check Price")</f>
        <v>OK</v>
      </c>
    </row>
    <row r="463" spans="1:14" ht="15.5" thickTop="1" thickBot="1" x14ac:dyDescent="0.4">
      <c r="A463" s="36" t="str">
        <f t="shared" si="14"/>
        <v>ORD0462</v>
      </c>
      <c r="B463" s="34">
        <v>45769</v>
      </c>
      <c r="C463" s="37" t="s">
        <v>68</v>
      </c>
      <c r="D463" s="37" t="s">
        <v>17</v>
      </c>
      <c r="E463" s="37" t="s">
        <v>35</v>
      </c>
      <c r="F463" s="37" t="s">
        <v>55</v>
      </c>
      <c r="G463" s="35" t="str">
        <f>_xlfn.XLOOKUP(F463,Lists!$J$2:$J$13,Lists!$K$2:$K$13,"Not Found")</f>
        <v>Office Supplies</v>
      </c>
      <c r="H463" s="37">
        <v>6</v>
      </c>
      <c r="I463" s="35">
        <f>_xlfn.XLOOKUP(F463,Lists!$D$2:$D$13,Lists!$E$2:$E$13,"Not Found")</f>
        <v>1500</v>
      </c>
      <c r="J463" s="47">
        <v>0.1</v>
      </c>
      <c r="K463" s="35">
        <f t="shared" si="15"/>
        <v>8100</v>
      </c>
      <c r="L463" s="37" t="s">
        <v>44</v>
      </c>
      <c r="M463" s="37" t="s">
        <v>22</v>
      </c>
      <c r="N463" s="4" t="str">
        <f>IF(I463=_xlfn.XLOOKUP(F463,Lists!$D$2:$D$13,Lists!$E$2:$E$13,"Not Found"),"OK","Check Price")</f>
        <v>OK</v>
      </c>
    </row>
    <row r="464" spans="1:14" ht="15.5" thickTop="1" thickBot="1" x14ac:dyDescent="0.4">
      <c r="A464" s="36" t="str">
        <f t="shared" si="14"/>
        <v>ORD0463</v>
      </c>
      <c r="B464" s="34">
        <v>46014</v>
      </c>
      <c r="C464" s="38" t="s">
        <v>66</v>
      </c>
      <c r="D464" s="38" t="s">
        <v>23</v>
      </c>
      <c r="E464" s="38" t="s">
        <v>35</v>
      </c>
      <c r="F464" s="38" t="s">
        <v>46</v>
      </c>
      <c r="G464" s="35" t="str">
        <f>_xlfn.XLOOKUP(F464,Lists!$J$2:$J$13,Lists!$K$2:$K$13,"Not Found")</f>
        <v>Furniture</v>
      </c>
      <c r="H464" s="38">
        <v>7</v>
      </c>
      <c r="I464" s="35">
        <f>_xlfn.XLOOKUP(F464,Lists!$D$2:$D$13,Lists!$E$2:$E$13,"Not Found")</f>
        <v>22000</v>
      </c>
      <c r="J464" s="48">
        <v>0.05</v>
      </c>
      <c r="K464" s="35">
        <f t="shared" si="15"/>
        <v>146300</v>
      </c>
      <c r="L464" s="38" t="s">
        <v>41</v>
      </c>
      <c r="M464" s="38" t="s">
        <v>27</v>
      </c>
      <c r="N464" s="4" t="str">
        <f>IF(I464=_xlfn.XLOOKUP(F464,Lists!$D$2:$D$13,Lists!$E$2:$E$13,"Not Found"),"OK","Check Price")</f>
        <v>OK</v>
      </c>
    </row>
    <row r="465" spans="1:14" ht="15.5" thickTop="1" thickBot="1" x14ac:dyDescent="0.4">
      <c r="A465" s="36" t="str">
        <f t="shared" si="14"/>
        <v>ORD0464</v>
      </c>
      <c r="B465" s="34">
        <v>45560</v>
      </c>
      <c r="C465" s="37" t="s">
        <v>60</v>
      </c>
      <c r="D465" s="37" t="s">
        <v>45</v>
      </c>
      <c r="E465" s="37" t="s">
        <v>80</v>
      </c>
      <c r="F465" s="37" t="s">
        <v>46</v>
      </c>
      <c r="G465" s="35" t="str">
        <f>_xlfn.XLOOKUP(F465,Lists!$J$2:$J$13,Lists!$K$2:$K$13,"Not Found")</f>
        <v>Furniture</v>
      </c>
      <c r="H465" s="37">
        <v>3</v>
      </c>
      <c r="I465" s="35">
        <f>_xlfn.XLOOKUP(F465,Lists!$D$2:$D$13,Lists!$E$2:$E$13,"Not Found")</f>
        <v>22000</v>
      </c>
      <c r="J465" s="47">
        <v>0.05</v>
      </c>
      <c r="K465" s="35">
        <f t="shared" si="15"/>
        <v>62700</v>
      </c>
      <c r="L465" s="37" t="s">
        <v>41</v>
      </c>
      <c r="M465" s="37" t="s">
        <v>38</v>
      </c>
      <c r="N465" s="4" t="str">
        <f>IF(I465=_xlfn.XLOOKUP(F465,Lists!$D$2:$D$13,Lists!$E$2:$E$13,"Not Found"),"OK","Check Price")</f>
        <v>OK</v>
      </c>
    </row>
    <row r="466" spans="1:14" ht="15.5" hidden="1" thickTop="1" thickBot="1" x14ac:dyDescent="0.4">
      <c r="A466" s="36" t="str">
        <f t="shared" si="14"/>
        <v>ORD0465</v>
      </c>
      <c r="B466" s="34">
        <v>45422</v>
      </c>
      <c r="C466" s="38" t="s">
        <v>59</v>
      </c>
      <c r="D466" s="38" t="s">
        <v>54</v>
      </c>
      <c r="E466" s="38" t="s">
        <v>80</v>
      </c>
      <c r="F466" s="38" t="s">
        <v>57</v>
      </c>
      <c r="G466" s="38" t="s">
        <v>19</v>
      </c>
      <c r="H466" s="38">
        <v>4</v>
      </c>
      <c r="I466" s="38">
        <v>22000</v>
      </c>
      <c r="J466" s="38">
        <v>0.25</v>
      </c>
      <c r="K466" s="38">
        <f t="shared" si="15"/>
        <v>66000</v>
      </c>
      <c r="L466" s="38" t="s">
        <v>47</v>
      </c>
      <c r="M466" s="38" t="s">
        <v>33</v>
      </c>
      <c r="N466" s="4" t="str">
        <f>IF(I466=_xlfn.XLOOKUP(F466,Lists!$D$2:$D$13,Lists!$E$2:$E$13,"Not Found"),"OK","Check Price")</f>
        <v>Check Price</v>
      </c>
    </row>
    <row r="467" spans="1:14" ht="15.5" hidden="1" thickTop="1" thickBot="1" x14ac:dyDescent="0.4">
      <c r="A467" s="36" t="str">
        <f t="shared" si="14"/>
        <v>ORD0466</v>
      </c>
      <c r="B467" s="34">
        <v>45454</v>
      </c>
      <c r="C467" s="37" t="s">
        <v>66</v>
      </c>
      <c r="D467" s="37" t="s">
        <v>39</v>
      </c>
      <c r="E467" s="37" t="s">
        <v>35</v>
      </c>
      <c r="F467" s="37" t="s">
        <v>25</v>
      </c>
      <c r="G467" s="37" t="s">
        <v>24</v>
      </c>
      <c r="H467" s="37">
        <v>7</v>
      </c>
      <c r="I467" s="37">
        <v>30000</v>
      </c>
      <c r="J467" s="37">
        <v>0.05</v>
      </c>
      <c r="K467" s="37">
        <f t="shared" si="15"/>
        <v>199500</v>
      </c>
      <c r="L467" s="37" t="s">
        <v>37</v>
      </c>
      <c r="M467" s="37" t="s">
        <v>38</v>
      </c>
      <c r="N467" s="4" t="str">
        <f>IF(I467=_xlfn.XLOOKUP(F467,Lists!$D$2:$D$13,Lists!$E$2:$E$13,"Not Found"),"OK","Check Price")</f>
        <v>OK</v>
      </c>
    </row>
    <row r="468" spans="1:14" ht="15.5" hidden="1" thickTop="1" thickBot="1" x14ac:dyDescent="0.4">
      <c r="A468" s="36" t="str">
        <f t="shared" si="14"/>
        <v>ORD0467</v>
      </c>
      <c r="B468" s="34">
        <v>45906</v>
      </c>
      <c r="C468" s="38" t="s">
        <v>74</v>
      </c>
      <c r="D468" s="38" t="s">
        <v>23</v>
      </c>
      <c r="E468" s="38" t="s">
        <v>79</v>
      </c>
      <c r="F468" s="38" t="s">
        <v>25</v>
      </c>
      <c r="G468" s="38" t="s">
        <v>30</v>
      </c>
      <c r="H468" s="38">
        <v>9</v>
      </c>
      <c r="I468" s="38">
        <v>2500</v>
      </c>
      <c r="J468" s="38">
        <v>0.05</v>
      </c>
      <c r="K468" s="38">
        <f t="shared" si="15"/>
        <v>21375</v>
      </c>
      <c r="L468" s="38" t="s">
        <v>37</v>
      </c>
      <c r="M468" s="38" t="s">
        <v>33</v>
      </c>
      <c r="N468" s="4" t="str">
        <f>IF(I468=_xlfn.XLOOKUP(F468,Lists!$D$2:$D$13,Lists!$E$2:$E$13,"Not Found"),"OK","Check Price")</f>
        <v>Check Price</v>
      </c>
    </row>
    <row r="469" spans="1:14" ht="15.5" hidden="1" thickTop="1" thickBot="1" x14ac:dyDescent="0.4">
      <c r="A469" s="36" t="str">
        <f t="shared" si="14"/>
        <v>ORD0468</v>
      </c>
      <c r="B469" s="34">
        <v>45843</v>
      </c>
      <c r="C469" s="37" t="s">
        <v>60</v>
      </c>
      <c r="D469" s="37" t="s">
        <v>17</v>
      </c>
      <c r="E469" s="37" t="s">
        <v>79</v>
      </c>
      <c r="F469" s="37" t="s">
        <v>43</v>
      </c>
      <c r="G469" s="37" t="s">
        <v>19</v>
      </c>
      <c r="H469" s="37">
        <v>5</v>
      </c>
      <c r="I469" s="37">
        <v>2000</v>
      </c>
      <c r="J469" s="37">
        <v>0.1</v>
      </c>
      <c r="K469" s="37">
        <f t="shared" si="15"/>
        <v>9000</v>
      </c>
      <c r="L469" s="37" t="s">
        <v>21</v>
      </c>
      <c r="M469" s="37" t="s">
        <v>38</v>
      </c>
      <c r="N469" s="4" t="str">
        <f>IF(I469=_xlfn.XLOOKUP(F469,Lists!$D$2:$D$13,Lists!$E$2:$E$13,"Not Found"),"OK","Check Price")</f>
        <v>Check Price</v>
      </c>
    </row>
    <row r="470" spans="1:14" ht="15.5" thickTop="1" thickBot="1" x14ac:dyDescent="0.4">
      <c r="A470" s="36" t="str">
        <f t="shared" si="14"/>
        <v>ORD0469</v>
      </c>
      <c r="B470" s="34">
        <v>45663</v>
      </c>
      <c r="C470" s="38" t="s">
        <v>77</v>
      </c>
      <c r="D470" s="38" t="s">
        <v>17</v>
      </c>
      <c r="E470" s="38" t="s">
        <v>29</v>
      </c>
      <c r="F470" s="38" t="s">
        <v>20</v>
      </c>
      <c r="G470" s="35" t="str">
        <f>_xlfn.XLOOKUP(F470,Lists!$J$2:$J$13,Lists!$K$2:$K$13,"Not Found")</f>
        <v>Electronics</v>
      </c>
      <c r="H470" s="38">
        <v>5</v>
      </c>
      <c r="I470" s="35">
        <f>_xlfn.XLOOKUP(F470,Lists!$D$2:$D$13,Lists!$E$2:$E$13,"Not Found")</f>
        <v>85000</v>
      </c>
      <c r="J470" s="48">
        <v>0.25</v>
      </c>
      <c r="K470" s="35">
        <f t="shared" si="15"/>
        <v>318750</v>
      </c>
      <c r="L470" s="38" t="s">
        <v>53</v>
      </c>
      <c r="M470" s="38" t="s">
        <v>38</v>
      </c>
      <c r="N470" s="4" t="str">
        <f>IF(I470=_xlfn.XLOOKUP(F470,Lists!$D$2:$D$13,Lists!$E$2:$E$13,"Not Found"),"OK","Check Price")</f>
        <v>OK</v>
      </c>
    </row>
    <row r="471" spans="1:14" ht="15.5" thickTop="1" thickBot="1" x14ac:dyDescent="0.4">
      <c r="A471" s="36" t="str">
        <f t="shared" si="14"/>
        <v>ORD0470</v>
      </c>
      <c r="B471" s="34">
        <v>45448</v>
      </c>
      <c r="C471" s="37" t="s">
        <v>77</v>
      </c>
      <c r="D471" s="37" t="s">
        <v>42</v>
      </c>
      <c r="E471" s="37" t="s">
        <v>119</v>
      </c>
      <c r="F471" s="37" t="s">
        <v>20</v>
      </c>
      <c r="G471" s="35" t="str">
        <f>_xlfn.XLOOKUP(F471,Lists!$J$2:$J$13,Lists!$K$2:$K$13,"Not Found")</f>
        <v>Electronics</v>
      </c>
      <c r="H471" s="37">
        <v>2</v>
      </c>
      <c r="I471" s="35">
        <f>_xlfn.XLOOKUP(F471,Lists!$D$2:$D$13,Lists!$E$2:$E$13,"Not Found")</f>
        <v>85000</v>
      </c>
      <c r="J471" s="47">
        <v>0.05</v>
      </c>
      <c r="K471" s="35">
        <f t="shared" si="15"/>
        <v>161500</v>
      </c>
      <c r="L471" s="37" t="s">
        <v>21</v>
      </c>
      <c r="M471" s="37" t="s">
        <v>22</v>
      </c>
      <c r="N471" s="4" t="str">
        <f>IF(I471=_xlfn.XLOOKUP(F471,Lists!$D$2:$D$13,Lists!$E$2:$E$13,"Not Found"),"OK","Check Price")</f>
        <v>OK</v>
      </c>
    </row>
    <row r="472" spans="1:14" ht="15.5" thickTop="1" thickBot="1" x14ac:dyDescent="0.4">
      <c r="A472" s="36" t="str">
        <f t="shared" si="14"/>
        <v>ORD0471</v>
      </c>
      <c r="B472" s="34">
        <v>45729</v>
      </c>
      <c r="C472" s="38" t="s">
        <v>72</v>
      </c>
      <c r="D472" s="38" t="s">
        <v>54</v>
      </c>
      <c r="E472" s="38" t="s">
        <v>79</v>
      </c>
      <c r="F472" s="38" t="s">
        <v>20</v>
      </c>
      <c r="G472" s="35" t="str">
        <f>_xlfn.XLOOKUP(F472,Lists!$J$2:$J$13,Lists!$K$2:$K$13,"Not Found")</f>
        <v>Electronics</v>
      </c>
      <c r="H472" s="38">
        <v>4</v>
      </c>
      <c r="I472" s="35">
        <f>_xlfn.XLOOKUP(F472,Lists!$D$2:$D$13,Lists!$E$2:$E$13,"Not Found")</f>
        <v>85000</v>
      </c>
      <c r="J472" s="48">
        <v>0.15</v>
      </c>
      <c r="K472" s="35">
        <f t="shared" si="15"/>
        <v>289000</v>
      </c>
      <c r="L472" s="38" t="s">
        <v>56</v>
      </c>
      <c r="M472" s="38" t="s">
        <v>22</v>
      </c>
      <c r="N472" s="4" t="str">
        <f>IF(I472=_xlfn.XLOOKUP(F472,Lists!$D$2:$D$13,Lists!$E$2:$E$13,"Not Found"),"OK","Check Price")</f>
        <v>OK</v>
      </c>
    </row>
    <row r="473" spans="1:14" ht="15.5" hidden="1" thickTop="1" thickBot="1" x14ac:dyDescent="0.4">
      <c r="A473" s="36" t="str">
        <f t="shared" si="14"/>
        <v>ORD0472</v>
      </c>
      <c r="B473" s="34">
        <v>45502</v>
      </c>
      <c r="C473" s="37" t="s">
        <v>74</v>
      </c>
      <c r="D473" s="37" t="s">
        <v>17</v>
      </c>
      <c r="E473" s="37" t="s">
        <v>79</v>
      </c>
      <c r="F473" s="37" t="s">
        <v>36</v>
      </c>
      <c r="G473" s="37" t="s">
        <v>24</v>
      </c>
      <c r="H473" s="37">
        <v>10</v>
      </c>
      <c r="I473" s="37">
        <v>2500</v>
      </c>
      <c r="J473" s="37">
        <v>0.05</v>
      </c>
      <c r="K473" s="37">
        <f t="shared" si="15"/>
        <v>23750</v>
      </c>
      <c r="L473" s="37" t="s">
        <v>41</v>
      </c>
      <c r="M473" s="37" t="s">
        <v>27</v>
      </c>
      <c r="N473" s="4" t="str">
        <f>IF(I473=_xlfn.XLOOKUP(F473,Lists!$D$2:$D$13,Lists!$E$2:$E$13,"Not Found"),"OK","Check Price")</f>
        <v>OK</v>
      </c>
    </row>
    <row r="474" spans="1:14" ht="15.5" thickTop="1" thickBot="1" x14ac:dyDescent="0.4">
      <c r="A474" s="36" t="str">
        <f t="shared" si="14"/>
        <v>ORD0473</v>
      </c>
      <c r="B474" s="34">
        <v>45372</v>
      </c>
      <c r="C474" s="38" t="s">
        <v>75</v>
      </c>
      <c r="D474" s="38" t="s">
        <v>39</v>
      </c>
      <c r="E474" s="38" t="s">
        <v>119</v>
      </c>
      <c r="F474" s="38" t="s">
        <v>55</v>
      </c>
      <c r="G474" s="35" t="str">
        <f>_xlfn.XLOOKUP(F474,Lists!$J$2:$J$13,Lists!$K$2:$K$13,"Not Found")</f>
        <v>Office Supplies</v>
      </c>
      <c r="H474" s="38">
        <v>1</v>
      </c>
      <c r="I474" s="35">
        <f>_xlfn.XLOOKUP(F474,Lists!$D$2:$D$13,Lists!$E$2:$E$13,"Not Found")</f>
        <v>1500</v>
      </c>
      <c r="J474" s="48">
        <v>0.2</v>
      </c>
      <c r="K474" s="35">
        <f>H474*I474*(1-J474)</f>
        <v>1200</v>
      </c>
      <c r="L474" s="38" t="s">
        <v>26</v>
      </c>
      <c r="M474" s="38" t="s">
        <v>33</v>
      </c>
      <c r="N474" s="4" t="str">
        <f>IF(I474=_xlfn.XLOOKUP(F474,Lists!$D$2:$D$13,Lists!$E$2:$E$13,"Not Found"),"OK","Check Price")</f>
        <v>OK</v>
      </c>
    </row>
    <row r="475" spans="1:14" ht="15.5" hidden="1" thickTop="1" thickBot="1" x14ac:dyDescent="0.4">
      <c r="A475" s="36" t="str">
        <f t="shared" si="14"/>
        <v>ORD0474</v>
      </c>
      <c r="B475" s="34">
        <v>45505</v>
      </c>
      <c r="C475" s="37" t="s">
        <v>65</v>
      </c>
      <c r="D475" s="37" t="s">
        <v>45</v>
      </c>
      <c r="E475" s="37" t="s">
        <v>18</v>
      </c>
      <c r="F475" s="37" t="s">
        <v>52</v>
      </c>
      <c r="G475" s="37" t="s">
        <v>24</v>
      </c>
      <c r="H475" s="37">
        <v>2</v>
      </c>
      <c r="I475" s="37">
        <v>28000</v>
      </c>
      <c r="J475" s="37">
        <v>0.1</v>
      </c>
      <c r="K475" s="37">
        <f t="shared" si="15"/>
        <v>50400</v>
      </c>
      <c r="L475" s="37" t="s">
        <v>37</v>
      </c>
      <c r="M475" s="37" t="s">
        <v>33</v>
      </c>
      <c r="N475" s="4" t="str">
        <f>IF(I475=_xlfn.XLOOKUP(F475,Lists!$D$2:$D$13,Lists!$E$2:$E$13,"Not Found"),"OK","Check Price")</f>
        <v>Check Price</v>
      </c>
    </row>
    <row r="476" spans="1:14" ht="15.5" hidden="1" thickTop="1" thickBot="1" x14ac:dyDescent="0.4">
      <c r="A476" s="36" t="str">
        <f t="shared" si="14"/>
        <v>ORD0475</v>
      </c>
      <c r="B476" s="34">
        <v>45809</v>
      </c>
      <c r="C476" s="38" t="s">
        <v>67</v>
      </c>
      <c r="D476" s="38" t="s">
        <v>23</v>
      </c>
      <c r="E476" s="38" t="s">
        <v>79</v>
      </c>
      <c r="F476" s="38" t="s">
        <v>40</v>
      </c>
      <c r="G476" s="38" t="s">
        <v>24</v>
      </c>
      <c r="H476" s="38">
        <v>6</v>
      </c>
      <c r="I476" s="38">
        <v>22000</v>
      </c>
      <c r="J476" s="38">
        <v>0.2</v>
      </c>
      <c r="K476" s="38">
        <f t="shared" si="15"/>
        <v>105600</v>
      </c>
      <c r="L476" s="38" t="s">
        <v>21</v>
      </c>
      <c r="M476" s="38" t="s">
        <v>22</v>
      </c>
      <c r="N476" s="4" t="str">
        <f>IF(I476=_xlfn.XLOOKUP(F476,Lists!$D$2:$D$13,Lists!$E$2:$E$13,"Not Found"),"OK","Check Price")</f>
        <v>Check Price</v>
      </c>
    </row>
    <row r="477" spans="1:14" ht="15.5" hidden="1" thickTop="1" thickBot="1" x14ac:dyDescent="0.4">
      <c r="A477" s="36" t="str">
        <f t="shared" si="14"/>
        <v>ORD0476</v>
      </c>
      <c r="B477" s="34">
        <v>45455</v>
      </c>
      <c r="C477" s="37" t="s">
        <v>59</v>
      </c>
      <c r="D477" s="37" t="s">
        <v>48</v>
      </c>
      <c r="E477" s="37" t="s">
        <v>119</v>
      </c>
      <c r="F477" s="37" t="s">
        <v>36</v>
      </c>
      <c r="G477" s="37" t="s">
        <v>19</v>
      </c>
      <c r="H477" s="37">
        <v>4</v>
      </c>
      <c r="I477" s="37">
        <v>12000</v>
      </c>
      <c r="J477" s="37">
        <v>0.2</v>
      </c>
      <c r="K477" s="37">
        <f t="shared" si="15"/>
        <v>38400</v>
      </c>
      <c r="L477" s="37" t="s">
        <v>47</v>
      </c>
      <c r="M477" s="37" t="s">
        <v>38</v>
      </c>
      <c r="N477" s="4" t="str">
        <f>IF(I477=_xlfn.XLOOKUP(F477,Lists!$D$2:$D$13,Lists!$E$2:$E$13,"Not Found"),"OK","Check Price")</f>
        <v>Check Price</v>
      </c>
    </row>
    <row r="478" spans="1:14" ht="15.5" hidden="1" thickTop="1" thickBot="1" x14ac:dyDescent="0.4">
      <c r="A478" s="36" t="str">
        <f t="shared" si="14"/>
        <v>ORD0477</v>
      </c>
      <c r="B478" s="34">
        <v>45664</v>
      </c>
      <c r="C478" s="38" t="s">
        <v>73</v>
      </c>
      <c r="D478" s="38" t="s">
        <v>23</v>
      </c>
      <c r="E478" s="38" t="s">
        <v>29</v>
      </c>
      <c r="F478" s="38" t="s">
        <v>58</v>
      </c>
      <c r="G478" s="38" t="s">
        <v>24</v>
      </c>
      <c r="H478" s="38">
        <v>3</v>
      </c>
      <c r="I478" s="38">
        <v>12000</v>
      </c>
      <c r="J478" s="38">
        <v>0.05</v>
      </c>
      <c r="K478" s="38">
        <f t="shared" si="15"/>
        <v>34200</v>
      </c>
      <c r="L478" s="38" t="s">
        <v>41</v>
      </c>
      <c r="M478" s="38" t="s">
        <v>22</v>
      </c>
      <c r="N478" s="4" t="str">
        <f>IF(I478=_xlfn.XLOOKUP(F478,Lists!$D$2:$D$13,Lists!$E$2:$E$13,"Not Found"),"OK","Check Price")</f>
        <v>Check Price</v>
      </c>
    </row>
    <row r="479" spans="1:14" ht="15.5" hidden="1" thickTop="1" thickBot="1" x14ac:dyDescent="0.4">
      <c r="A479" s="36" t="str">
        <f t="shared" si="14"/>
        <v>ORD0478</v>
      </c>
      <c r="B479" s="34">
        <v>45307</v>
      </c>
      <c r="C479" s="37" t="s">
        <v>70</v>
      </c>
      <c r="D479" s="37" t="s">
        <v>39</v>
      </c>
      <c r="E479" s="37" t="s">
        <v>79</v>
      </c>
      <c r="F479" s="37" t="s">
        <v>36</v>
      </c>
      <c r="G479" s="37" t="s">
        <v>30</v>
      </c>
      <c r="H479" s="37">
        <v>8</v>
      </c>
      <c r="I479" s="37">
        <v>22000</v>
      </c>
      <c r="J479" s="37">
        <v>0.1</v>
      </c>
      <c r="K479" s="37">
        <f t="shared" si="15"/>
        <v>158400</v>
      </c>
      <c r="L479" s="37" t="s">
        <v>21</v>
      </c>
      <c r="M479" s="37" t="s">
        <v>22</v>
      </c>
      <c r="N479" s="4" t="str">
        <f>IF(I479=_xlfn.XLOOKUP(F479,Lists!$D$2:$D$13,Lists!$E$2:$E$13,"Not Found"),"OK","Check Price")</f>
        <v>Check Price</v>
      </c>
    </row>
    <row r="480" spans="1:14" ht="15.5" thickTop="1" thickBot="1" x14ac:dyDescent="0.4">
      <c r="A480" s="36" t="str">
        <f t="shared" si="14"/>
        <v>ORD0479</v>
      </c>
      <c r="B480" s="34">
        <v>45604</v>
      </c>
      <c r="C480" s="38" t="s">
        <v>73</v>
      </c>
      <c r="D480" s="38" t="s">
        <v>42</v>
      </c>
      <c r="E480" s="38" t="s">
        <v>80</v>
      </c>
      <c r="F480" s="38" t="s">
        <v>20</v>
      </c>
      <c r="G480" s="35" t="str">
        <f>_xlfn.XLOOKUP(F480,Lists!$J$2:$J$13,Lists!$K$2:$K$13,"Not Found")</f>
        <v>Electronics</v>
      </c>
      <c r="H480" s="38">
        <v>1</v>
      </c>
      <c r="I480" s="35">
        <f>_xlfn.XLOOKUP(F480,Lists!$D$2:$D$13,Lists!$E$2:$E$13,"Not Found")</f>
        <v>85000</v>
      </c>
      <c r="J480" s="48">
        <v>0.25</v>
      </c>
      <c r="K480" s="35">
        <f>H480*I480*(1-J480)</f>
        <v>63750</v>
      </c>
      <c r="L480" s="38" t="s">
        <v>32</v>
      </c>
      <c r="M480" s="38" t="s">
        <v>38</v>
      </c>
      <c r="N480" s="4" t="str">
        <f>IF(I480=_xlfn.XLOOKUP(F480,Lists!$D$2:$D$13,Lists!$E$2:$E$13,"Not Found"),"OK","Check Price")</f>
        <v>OK</v>
      </c>
    </row>
    <row r="481" spans="1:14" ht="15.5" hidden="1" thickTop="1" thickBot="1" x14ac:dyDescent="0.4">
      <c r="A481" s="36" t="str">
        <f t="shared" si="14"/>
        <v>ORD0480</v>
      </c>
      <c r="B481" s="34">
        <v>45969</v>
      </c>
      <c r="C481" s="37" t="s">
        <v>60</v>
      </c>
      <c r="D481" s="37" t="s">
        <v>28</v>
      </c>
      <c r="E481" s="37" t="s">
        <v>79</v>
      </c>
      <c r="F481" s="37" t="s">
        <v>31</v>
      </c>
      <c r="G481" s="37" t="s">
        <v>30</v>
      </c>
      <c r="H481" s="37">
        <v>8</v>
      </c>
      <c r="I481" s="37">
        <v>2500</v>
      </c>
      <c r="J481" s="37">
        <v>0.2</v>
      </c>
      <c r="K481" s="37">
        <f t="shared" si="15"/>
        <v>16000</v>
      </c>
      <c r="L481" s="37" t="s">
        <v>56</v>
      </c>
      <c r="M481" s="37" t="s">
        <v>22</v>
      </c>
      <c r="N481" s="4" t="str">
        <f>IF(I481=_xlfn.XLOOKUP(F481,Lists!$D$2:$D$13,Lists!$E$2:$E$13,"Not Found"),"OK","Check Price")</f>
        <v>Check Price</v>
      </c>
    </row>
    <row r="482" spans="1:14" ht="15.5" thickTop="1" thickBot="1" x14ac:dyDescent="0.4">
      <c r="A482" s="36" t="str">
        <f t="shared" si="14"/>
        <v>ORD0481</v>
      </c>
      <c r="B482" s="34">
        <v>45750</v>
      </c>
      <c r="C482" s="38" t="s">
        <v>70</v>
      </c>
      <c r="D482" s="38" t="s">
        <v>48</v>
      </c>
      <c r="E482" s="38" t="s">
        <v>79</v>
      </c>
      <c r="F482" s="38" t="s">
        <v>20</v>
      </c>
      <c r="G482" s="35" t="str">
        <f>_xlfn.XLOOKUP(F482,Lists!$J$2:$J$13,Lists!$K$2:$K$13,"Not Found")</f>
        <v>Electronics</v>
      </c>
      <c r="H482" s="38">
        <v>4</v>
      </c>
      <c r="I482" s="35">
        <f>_xlfn.XLOOKUP(F482,Lists!$D$2:$D$13,Lists!$E$2:$E$13,"Not Found")</f>
        <v>85000</v>
      </c>
      <c r="J482" s="48">
        <v>0.2</v>
      </c>
      <c r="K482" s="35">
        <f>H482*I482*(1-J482)</f>
        <v>272000</v>
      </c>
      <c r="L482" s="38" t="s">
        <v>37</v>
      </c>
      <c r="M482" s="38" t="s">
        <v>33</v>
      </c>
      <c r="N482" s="4" t="str">
        <f>IF(I482=_xlfn.XLOOKUP(F482,Lists!$D$2:$D$13,Lists!$E$2:$E$13,"Not Found"),"OK","Check Price")</f>
        <v>OK</v>
      </c>
    </row>
    <row r="483" spans="1:14" ht="15.5" hidden="1" thickTop="1" thickBot="1" x14ac:dyDescent="0.4">
      <c r="A483" s="36" t="str">
        <f t="shared" si="14"/>
        <v>ORD0482</v>
      </c>
      <c r="B483" s="34">
        <v>45715</v>
      </c>
      <c r="C483" s="37" t="s">
        <v>78</v>
      </c>
      <c r="D483" s="37" t="s">
        <v>45</v>
      </c>
      <c r="E483" s="37" t="s">
        <v>119</v>
      </c>
      <c r="F483" s="37" t="s">
        <v>31</v>
      </c>
      <c r="G483" s="37" t="s">
        <v>24</v>
      </c>
      <c r="H483" s="37">
        <v>3</v>
      </c>
      <c r="I483" s="37">
        <v>4000</v>
      </c>
      <c r="J483" s="37">
        <v>0.05</v>
      </c>
      <c r="K483" s="37">
        <f t="shared" si="15"/>
        <v>11400</v>
      </c>
      <c r="L483" s="37" t="s">
        <v>53</v>
      </c>
      <c r="M483" s="37" t="s">
        <v>38</v>
      </c>
      <c r="N483" s="4" t="str">
        <f>IF(I483=_xlfn.XLOOKUP(F483,Lists!$D$2:$D$13,Lists!$E$2:$E$13,"Not Found"),"OK","Check Price")</f>
        <v>OK</v>
      </c>
    </row>
    <row r="484" spans="1:14" ht="15.5" hidden="1" thickTop="1" thickBot="1" x14ac:dyDescent="0.4">
      <c r="A484" s="36" t="str">
        <f t="shared" si="14"/>
        <v>ORD0483</v>
      </c>
      <c r="B484" s="34">
        <v>45305</v>
      </c>
      <c r="C484" s="38" t="s">
        <v>62</v>
      </c>
      <c r="D484" s="38" t="s">
        <v>51</v>
      </c>
      <c r="E484" s="38" t="s">
        <v>35</v>
      </c>
      <c r="F484" s="38" t="s">
        <v>36</v>
      </c>
      <c r="G484" s="38" t="s">
        <v>24</v>
      </c>
      <c r="H484" s="38">
        <v>9</v>
      </c>
      <c r="I484" s="38">
        <v>28000</v>
      </c>
      <c r="J484" s="38">
        <v>0.1</v>
      </c>
      <c r="K484" s="38">
        <f t="shared" si="15"/>
        <v>226800</v>
      </c>
      <c r="L484" s="38" t="s">
        <v>41</v>
      </c>
      <c r="M484" s="38" t="s">
        <v>33</v>
      </c>
      <c r="N484" s="4" t="str">
        <f>IF(I484=_xlfn.XLOOKUP(F484,Lists!$D$2:$D$13,Lists!$E$2:$E$13,"Not Found"),"OK","Check Price")</f>
        <v>Check Price</v>
      </c>
    </row>
    <row r="485" spans="1:14" ht="15.5" hidden="1" thickTop="1" thickBot="1" x14ac:dyDescent="0.4">
      <c r="A485" s="36" t="str">
        <f t="shared" si="14"/>
        <v>ORD0484</v>
      </c>
      <c r="B485" s="34">
        <v>45999</v>
      </c>
      <c r="C485" s="37" t="s">
        <v>70</v>
      </c>
      <c r="D485" s="37" t="s">
        <v>34</v>
      </c>
      <c r="E485" s="37" t="s">
        <v>29</v>
      </c>
      <c r="F485" s="37" t="s">
        <v>25</v>
      </c>
      <c r="G485" s="37" t="s">
        <v>30</v>
      </c>
      <c r="H485" s="37">
        <v>6</v>
      </c>
      <c r="I485" s="37">
        <v>1500</v>
      </c>
      <c r="J485" s="37">
        <v>0.1</v>
      </c>
      <c r="K485" s="37">
        <f t="shared" si="15"/>
        <v>8100</v>
      </c>
      <c r="L485" s="37" t="s">
        <v>47</v>
      </c>
      <c r="M485" s="37" t="s">
        <v>33</v>
      </c>
      <c r="N485" s="4" t="str">
        <f>IF(I485=_xlfn.XLOOKUP(F485,Lists!$D$2:$D$13,Lists!$E$2:$E$13,"Not Found"),"OK","Check Price")</f>
        <v>Check Price</v>
      </c>
    </row>
    <row r="486" spans="1:14" ht="15.5" thickTop="1" thickBot="1" x14ac:dyDescent="0.4">
      <c r="A486" s="36" t="str">
        <f t="shared" si="14"/>
        <v>ORD0485</v>
      </c>
      <c r="B486" s="34">
        <v>45974</v>
      </c>
      <c r="C486" s="38" t="s">
        <v>65</v>
      </c>
      <c r="D486" s="38" t="s">
        <v>28</v>
      </c>
      <c r="E486" s="38" t="s">
        <v>18</v>
      </c>
      <c r="F486" s="38" t="s">
        <v>20</v>
      </c>
      <c r="G486" s="35" t="str">
        <f>_xlfn.XLOOKUP(F486,Lists!$J$2:$J$13,Lists!$K$2:$K$13,"Not Found")</f>
        <v>Electronics</v>
      </c>
      <c r="H486" s="38">
        <v>2</v>
      </c>
      <c r="I486" s="35">
        <f>_xlfn.XLOOKUP(F486,Lists!$D$2:$D$13,Lists!$E$2:$E$13,"Not Found")</f>
        <v>85000</v>
      </c>
      <c r="J486" s="48">
        <v>0.25</v>
      </c>
      <c r="K486" s="35">
        <f>H486*I486*(1-J486)</f>
        <v>127500</v>
      </c>
      <c r="L486" s="38" t="s">
        <v>47</v>
      </c>
      <c r="M486" s="38" t="s">
        <v>38</v>
      </c>
      <c r="N486" s="4" t="str">
        <f>IF(I486=_xlfn.XLOOKUP(F486,Lists!$D$2:$D$13,Lists!$E$2:$E$13,"Not Found"),"OK","Check Price")</f>
        <v>OK</v>
      </c>
    </row>
    <row r="487" spans="1:14" ht="15.5" hidden="1" thickTop="1" thickBot="1" x14ac:dyDescent="0.4">
      <c r="A487" s="36" t="str">
        <f t="shared" si="14"/>
        <v>ORD0486</v>
      </c>
      <c r="B487" s="34">
        <v>45503</v>
      </c>
      <c r="C487" s="37" t="s">
        <v>77</v>
      </c>
      <c r="D487" s="37" t="s">
        <v>42</v>
      </c>
      <c r="E487" s="37" t="s">
        <v>18</v>
      </c>
      <c r="F487" s="37" t="s">
        <v>49</v>
      </c>
      <c r="G487" s="37" t="s">
        <v>24</v>
      </c>
      <c r="H487" s="37">
        <v>7</v>
      </c>
      <c r="I487" s="37">
        <v>1200</v>
      </c>
      <c r="J487" s="37">
        <v>0.05</v>
      </c>
      <c r="K487" s="37">
        <f t="shared" si="15"/>
        <v>7980</v>
      </c>
      <c r="L487" s="37" t="s">
        <v>56</v>
      </c>
      <c r="M487" s="37" t="s">
        <v>33</v>
      </c>
      <c r="N487" s="4" t="str">
        <f>IF(I487=_xlfn.XLOOKUP(F487,Lists!$D$2:$D$13,Lists!$E$2:$E$13,"Not Found"),"OK","Check Price")</f>
        <v>Check Price</v>
      </c>
    </row>
    <row r="488" spans="1:14" ht="15.5" hidden="1" thickTop="1" thickBot="1" x14ac:dyDescent="0.4">
      <c r="A488" s="36" t="str">
        <f t="shared" si="14"/>
        <v>ORD0487</v>
      </c>
      <c r="B488" s="34">
        <v>45868</v>
      </c>
      <c r="C488" s="38" t="s">
        <v>71</v>
      </c>
      <c r="D488" s="38" t="s">
        <v>39</v>
      </c>
      <c r="E488" s="38" t="s">
        <v>80</v>
      </c>
      <c r="F488" s="38" t="s">
        <v>31</v>
      </c>
      <c r="G488" s="38" t="s">
        <v>30</v>
      </c>
      <c r="H488" s="38">
        <v>9</v>
      </c>
      <c r="I488" s="38">
        <v>12000</v>
      </c>
      <c r="J488" s="38">
        <v>0.15</v>
      </c>
      <c r="K488" s="38">
        <f t="shared" si="15"/>
        <v>91800</v>
      </c>
      <c r="L488" s="38" t="s">
        <v>21</v>
      </c>
      <c r="M488" s="38" t="s">
        <v>33</v>
      </c>
      <c r="N488" s="4" t="str">
        <f>IF(I488=_xlfn.XLOOKUP(F488,Lists!$D$2:$D$13,Lists!$E$2:$E$13,"Not Found"),"OK","Check Price")</f>
        <v>Check Price</v>
      </c>
    </row>
    <row r="489" spans="1:14" ht="15.5" hidden="1" thickTop="1" thickBot="1" x14ac:dyDescent="0.4">
      <c r="A489" s="36" t="str">
        <f t="shared" si="14"/>
        <v>ORD0488</v>
      </c>
      <c r="B489" s="34">
        <v>45910</v>
      </c>
      <c r="C489" s="37" t="s">
        <v>60</v>
      </c>
      <c r="D489" s="37" t="s">
        <v>34</v>
      </c>
      <c r="E489" s="37" t="s">
        <v>18</v>
      </c>
      <c r="F489" s="37" t="s">
        <v>31</v>
      </c>
      <c r="G489" s="37" t="s">
        <v>19</v>
      </c>
      <c r="H489" s="37">
        <v>9</v>
      </c>
      <c r="I489" s="37">
        <v>5000</v>
      </c>
      <c r="J489" s="37">
        <v>0.15</v>
      </c>
      <c r="K489" s="37">
        <f t="shared" si="15"/>
        <v>38250</v>
      </c>
      <c r="L489" s="37" t="s">
        <v>44</v>
      </c>
      <c r="M489" s="37" t="s">
        <v>27</v>
      </c>
      <c r="N489" s="4" t="str">
        <f>IF(I489=_xlfn.XLOOKUP(F489,Lists!$D$2:$D$13,Lists!$E$2:$E$13,"Not Found"),"OK","Check Price")</f>
        <v>Check Price</v>
      </c>
    </row>
    <row r="490" spans="1:14" ht="15.5" thickTop="1" thickBot="1" x14ac:dyDescent="0.4">
      <c r="A490" s="36" t="str">
        <f t="shared" si="14"/>
        <v>ORD0489</v>
      </c>
      <c r="B490" s="34">
        <v>45346</v>
      </c>
      <c r="C490" s="38" t="s">
        <v>68</v>
      </c>
      <c r="D490" s="38" t="s">
        <v>17</v>
      </c>
      <c r="E490" s="38" t="s">
        <v>79</v>
      </c>
      <c r="F490" s="38" t="s">
        <v>20</v>
      </c>
      <c r="G490" s="35" t="str">
        <f>_xlfn.XLOOKUP(F490,Lists!$J$2:$J$13,Lists!$K$2:$K$13,"Not Found")</f>
        <v>Electronics</v>
      </c>
      <c r="H490" s="38">
        <v>3</v>
      </c>
      <c r="I490" s="35">
        <f>_xlfn.XLOOKUP(F490,Lists!$D$2:$D$13,Lists!$E$2:$E$13,"Not Found")</f>
        <v>85000</v>
      </c>
      <c r="J490" s="48">
        <v>0.25</v>
      </c>
      <c r="K490" s="35">
        <f>H490*I490*(1-J490)</f>
        <v>191250</v>
      </c>
      <c r="L490" s="38" t="s">
        <v>32</v>
      </c>
      <c r="M490" s="38" t="s">
        <v>22</v>
      </c>
      <c r="N490" s="4" t="str">
        <f>IF(I490=_xlfn.XLOOKUP(F490,Lists!$D$2:$D$13,Lists!$E$2:$E$13,"Not Found"),"OK","Check Price")</f>
        <v>OK</v>
      </c>
    </row>
    <row r="491" spans="1:14" ht="15.5" hidden="1" thickTop="1" thickBot="1" x14ac:dyDescent="0.4">
      <c r="A491" s="36" t="str">
        <f t="shared" si="14"/>
        <v>ORD0490</v>
      </c>
      <c r="B491" s="34">
        <v>45472</v>
      </c>
      <c r="C491" s="37" t="s">
        <v>74</v>
      </c>
      <c r="D491" s="37" t="s">
        <v>42</v>
      </c>
      <c r="E491" s="37" t="s">
        <v>79</v>
      </c>
      <c r="F491" s="37" t="s">
        <v>43</v>
      </c>
      <c r="G491" s="37" t="s">
        <v>24</v>
      </c>
      <c r="H491" s="37">
        <v>4</v>
      </c>
      <c r="I491" s="37">
        <v>2500</v>
      </c>
      <c r="J491" s="37">
        <v>0.1</v>
      </c>
      <c r="K491" s="37">
        <f t="shared" si="15"/>
        <v>9000</v>
      </c>
      <c r="L491" s="37" t="s">
        <v>41</v>
      </c>
      <c r="M491" s="37" t="s">
        <v>38</v>
      </c>
      <c r="N491" s="4" t="str">
        <f>IF(I491=_xlfn.XLOOKUP(F491,Lists!$D$2:$D$13,Lists!$E$2:$E$13,"Not Found"),"OK","Check Price")</f>
        <v>Check Price</v>
      </c>
    </row>
    <row r="492" spans="1:14" ht="15.5" thickTop="1" thickBot="1" x14ac:dyDescent="0.4">
      <c r="A492" s="36" t="str">
        <f t="shared" si="14"/>
        <v>ORD0491</v>
      </c>
      <c r="B492" s="34">
        <v>45990</v>
      </c>
      <c r="C492" s="38" t="s">
        <v>74</v>
      </c>
      <c r="D492" s="38" t="s">
        <v>23</v>
      </c>
      <c r="E492" s="38" t="s">
        <v>35</v>
      </c>
      <c r="F492" s="38" t="s">
        <v>46</v>
      </c>
      <c r="G492" s="35" t="str">
        <f>_xlfn.XLOOKUP(F492,Lists!$J$2:$J$13,Lists!$K$2:$K$13,"Not Found")</f>
        <v>Furniture</v>
      </c>
      <c r="H492" s="38">
        <v>9</v>
      </c>
      <c r="I492" s="35">
        <f>_xlfn.XLOOKUP(F492,Lists!$D$2:$D$13,Lists!$E$2:$E$13,"Not Found")</f>
        <v>22000</v>
      </c>
      <c r="J492" s="48">
        <v>0.05</v>
      </c>
      <c r="K492" s="35">
        <f>H492*I492*(1-J492)</f>
        <v>188100</v>
      </c>
      <c r="L492" s="38" t="s">
        <v>47</v>
      </c>
      <c r="M492" s="38" t="s">
        <v>27</v>
      </c>
      <c r="N492" s="4" t="str">
        <f>IF(I492=_xlfn.XLOOKUP(F492,Lists!$D$2:$D$13,Lists!$E$2:$E$13,"Not Found"),"OK","Check Price")</f>
        <v>OK</v>
      </c>
    </row>
    <row r="493" spans="1:14" ht="15.5" hidden="1" thickTop="1" thickBot="1" x14ac:dyDescent="0.4">
      <c r="A493" s="36" t="str">
        <f t="shared" si="14"/>
        <v>ORD0492</v>
      </c>
      <c r="B493" s="34">
        <v>45445</v>
      </c>
      <c r="C493" s="37" t="s">
        <v>64</v>
      </c>
      <c r="D493" s="37" t="s">
        <v>17</v>
      </c>
      <c r="E493" s="37" t="s">
        <v>29</v>
      </c>
      <c r="F493" s="37" t="s">
        <v>58</v>
      </c>
      <c r="G493" s="37" t="s">
        <v>30</v>
      </c>
      <c r="H493" s="37">
        <v>2</v>
      </c>
      <c r="I493" s="37">
        <v>2500</v>
      </c>
      <c r="J493" s="37">
        <v>0.1</v>
      </c>
      <c r="K493" s="37">
        <f t="shared" si="15"/>
        <v>4500</v>
      </c>
      <c r="L493" s="37" t="s">
        <v>26</v>
      </c>
      <c r="M493" s="37" t="s">
        <v>22</v>
      </c>
      <c r="N493" s="4" t="str">
        <f>IF(I493=_xlfn.XLOOKUP(F493,Lists!$D$2:$D$13,Lists!$E$2:$E$13,"Not Found"),"OK","Check Price")</f>
        <v>Check Price</v>
      </c>
    </row>
    <row r="494" spans="1:14" ht="15.5" hidden="1" thickTop="1" thickBot="1" x14ac:dyDescent="0.4">
      <c r="A494" s="36" t="str">
        <f t="shared" si="14"/>
        <v>ORD0493</v>
      </c>
      <c r="B494" s="34">
        <v>45341</v>
      </c>
      <c r="C494" s="38" t="s">
        <v>59</v>
      </c>
      <c r="D494" s="38" t="s">
        <v>34</v>
      </c>
      <c r="E494" s="38" t="s">
        <v>35</v>
      </c>
      <c r="F494" s="38" t="s">
        <v>36</v>
      </c>
      <c r="G494" s="38" t="s">
        <v>19</v>
      </c>
      <c r="H494" s="38">
        <v>2</v>
      </c>
      <c r="I494" s="38">
        <v>22000</v>
      </c>
      <c r="J494" s="38">
        <v>0.05</v>
      </c>
      <c r="K494" s="38">
        <f t="shared" si="15"/>
        <v>41800</v>
      </c>
      <c r="L494" s="38" t="s">
        <v>56</v>
      </c>
      <c r="M494" s="38" t="s">
        <v>38</v>
      </c>
      <c r="N494" s="4" t="str">
        <f>IF(I494=_xlfn.XLOOKUP(F494,Lists!$D$2:$D$13,Lists!$E$2:$E$13,"Not Found"),"OK","Check Price")</f>
        <v>Check Price</v>
      </c>
    </row>
    <row r="495" spans="1:14" ht="15.5" hidden="1" thickTop="1" thickBot="1" x14ac:dyDescent="0.4">
      <c r="A495" s="36" t="str">
        <f t="shared" si="14"/>
        <v>ORD0494</v>
      </c>
      <c r="B495" s="34">
        <v>45814</v>
      </c>
      <c r="C495" s="37" t="s">
        <v>72</v>
      </c>
      <c r="D495" s="37" t="s">
        <v>17</v>
      </c>
      <c r="E495" s="37" t="s">
        <v>35</v>
      </c>
      <c r="F495" s="37" t="s">
        <v>57</v>
      </c>
      <c r="G495" s="37" t="s">
        <v>19</v>
      </c>
      <c r="H495" s="37">
        <v>4</v>
      </c>
      <c r="I495" s="37">
        <v>2500</v>
      </c>
      <c r="J495" s="37">
        <v>0.1</v>
      </c>
      <c r="K495" s="37">
        <f t="shared" si="15"/>
        <v>9000</v>
      </c>
      <c r="L495" s="37" t="s">
        <v>21</v>
      </c>
      <c r="M495" s="37" t="s">
        <v>33</v>
      </c>
      <c r="N495" s="4" t="str">
        <f>IF(I495=_xlfn.XLOOKUP(F495,Lists!$D$2:$D$13,Lists!$E$2:$E$13,"Not Found"),"OK","Check Price")</f>
        <v>Check Price</v>
      </c>
    </row>
    <row r="496" spans="1:14" ht="15.5" hidden="1" thickTop="1" thickBot="1" x14ac:dyDescent="0.4">
      <c r="A496" s="36" t="str">
        <f t="shared" si="14"/>
        <v>ORD0495</v>
      </c>
      <c r="B496" s="34">
        <v>45798</v>
      </c>
      <c r="C496" s="38" t="s">
        <v>74</v>
      </c>
      <c r="D496" s="38" t="s">
        <v>45</v>
      </c>
      <c r="E496" s="38" t="s">
        <v>29</v>
      </c>
      <c r="F496" s="38" t="s">
        <v>49</v>
      </c>
      <c r="G496" s="38" t="s">
        <v>30</v>
      </c>
      <c r="H496" s="38">
        <v>7</v>
      </c>
      <c r="I496" s="38">
        <v>2500</v>
      </c>
      <c r="J496" s="38">
        <v>0.05</v>
      </c>
      <c r="K496" s="38">
        <f t="shared" si="15"/>
        <v>16625</v>
      </c>
      <c r="L496" s="38" t="s">
        <v>21</v>
      </c>
      <c r="M496" s="38" t="s">
        <v>33</v>
      </c>
      <c r="N496" s="4" t="str">
        <f>IF(I496=_xlfn.XLOOKUP(F496,Lists!$D$2:$D$13,Lists!$E$2:$E$13,"Not Found"),"OK","Check Price")</f>
        <v>Check Price</v>
      </c>
    </row>
    <row r="497" spans="1:14" ht="15.5" thickTop="1" thickBot="1" x14ac:dyDescent="0.4">
      <c r="A497" s="36" t="str">
        <f t="shared" si="14"/>
        <v>ORD0496</v>
      </c>
      <c r="B497" s="34">
        <v>45477</v>
      </c>
      <c r="C497" s="37" t="s">
        <v>76</v>
      </c>
      <c r="D497" s="37" t="s">
        <v>48</v>
      </c>
      <c r="E497" s="37" t="s">
        <v>29</v>
      </c>
      <c r="F497" s="37" t="s">
        <v>55</v>
      </c>
      <c r="G497" s="35" t="str">
        <f>_xlfn.XLOOKUP(F497,Lists!$J$2:$J$13,Lists!$K$2:$K$13,"Not Found")</f>
        <v>Office Supplies</v>
      </c>
      <c r="H497" s="37">
        <v>10</v>
      </c>
      <c r="I497" s="35">
        <f>_xlfn.XLOOKUP(F497,Lists!$D$2:$D$13,Lists!$E$2:$E$13,"Not Found")</f>
        <v>1500</v>
      </c>
      <c r="J497" s="47">
        <v>0.1</v>
      </c>
      <c r="K497" s="35">
        <f t="shared" si="15"/>
        <v>13500</v>
      </c>
      <c r="L497" s="37" t="s">
        <v>41</v>
      </c>
      <c r="M497" s="37" t="s">
        <v>22</v>
      </c>
      <c r="N497" s="4" t="str">
        <f>IF(I497=_xlfn.XLOOKUP(F497,Lists!$D$2:$D$13,Lists!$E$2:$E$13,"Not Found"),"OK","Check Price")</f>
        <v>OK</v>
      </c>
    </row>
    <row r="498" spans="1:14" ht="15.5" thickTop="1" thickBot="1" x14ac:dyDescent="0.4">
      <c r="A498" s="36" t="str">
        <f t="shared" si="14"/>
        <v>ORD0497</v>
      </c>
      <c r="B498" s="34">
        <v>45558</v>
      </c>
      <c r="C498" s="38" t="s">
        <v>60</v>
      </c>
      <c r="D498" s="38" t="s">
        <v>54</v>
      </c>
      <c r="E498" s="38" t="s">
        <v>80</v>
      </c>
      <c r="F498" s="38" t="s">
        <v>46</v>
      </c>
      <c r="G498" s="35" t="str">
        <f>_xlfn.XLOOKUP(F498,Lists!$J$2:$J$13,Lists!$K$2:$K$13,"Not Found")</f>
        <v>Furniture</v>
      </c>
      <c r="H498" s="38">
        <v>6</v>
      </c>
      <c r="I498" s="35">
        <f>_xlfn.XLOOKUP(F498,Lists!$D$2:$D$13,Lists!$E$2:$E$13,"Not Found")</f>
        <v>22000</v>
      </c>
      <c r="J498" s="48">
        <v>0.05</v>
      </c>
      <c r="K498" s="35">
        <f t="shared" si="15"/>
        <v>125400</v>
      </c>
      <c r="L498" s="38" t="s">
        <v>44</v>
      </c>
      <c r="M498" s="38" t="s">
        <v>33</v>
      </c>
      <c r="N498" s="4" t="str">
        <f>IF(I498=_xlfn.XLOOKUP(F498,Lists!$D$2:$D$13,Lists!$E$2:$E$13,"Not Found"),"OK","Check Price")</f>
        <v>OK</v>
      </c>
    </row>
    <row r="499" spans="1:14" ht="15.5" hidden="1" thickTop="1" thickBot="1" x14ac:dyDescent="0.4">
      <c r="A499" s="36" t="str">
        <f t="shared" si="14"/>
        <v>ORD0498</v>
      </c>
      <c r="B499" s="34">
        <v>45851</v>
      </c>
      <c r="C499" s="37" t="s">
        <v>63</v>
      </c>
      <c r="D499" s="37" t="s">
        <v>42</v>
      </c>
      <c r="E499" s="37" t="s">
        <v>79</v>
      </c>
      <c r="F499" s="37" t="s">
        <v>49</v>
      </c>
      <c r="G499" s="37" t="s">
        <v>24</v>
      </c>
      <c r="H499" s="37">
        <v>7</v>
      </c>
      <c r="I499" s="37">
        <v>22000</v>
      </c>
      <c r="J499" s="37">
        <v>0.15</v>
      </c>
      <c r="K499" s="37">
        <f t="shared" si="15"/>
        <v>130900</v>
      </c>
      <c r="L499" s="37" t="s">
        <v>37</v>
      </c>
      <c r="M499" s="37" t="s">
        <v>33</v>
      </c>
      <c r="N499" s="4" t="str">
        <f>IF(I499=_xlfn.XLOOKUP(F499,Lists!$D$2:$D$13,Lists!$E$2:$E$13,"Not Found"),"OK","Check Price")</f>
        <v>Check Price</v>
      </c>
    </row>
    <row r="500" spans="1:14" ht="15.5" thickTop="1" thickBot="1" x14ac:dyDescent="0.4">
      <c r="A500" s="36" t="str">
        <f t="shared" si="14"/>
        <v>ORD0499</v>
      </c>
      <c r="B500" s="34">
        <v>45731</v>
      </c>
      <c r="C500" s="38" t="s">
        <v>72</v>
      </c>
      <c r="D500" s="38" t="s">
        <v>51</v>
      </c>
      <c r="E500" s="38" t="s">
        <v>29</v>
      </c>
      <c r="F500" s="38" t="s">
        <v>55</v>
      </c>
      <c r="G500" s="35" t="str">
        <f>_xlfn.XLOOKUP(F500,Lists!$J$2:$J$13,Lists!$K$2:$K$13,"Not Found")</f>
        <v>Office Supplies</v>
      </c>
      <c r="H500" s="38">
        <v>9</v>
      </c>
      <c r="I500" s="35">
        <f>_xlfn.XLOOKUP(F500,Lists!$D$2:$D$13,Lists!$E$2:$E$13,"Not Found")</f>
        <v>1500</v>
      </c>
      <c r="J500" s="48">
        <v>0.05</v>
      </c>
      <c r="K500" s="35">
        <f t="shared" si="15"/>
        <v>12825</v>
      </c>
      <c r="L500" s="38" t="s">
        <v>32</v>
      </c>
      <c r="M500" s="38" t="s">
        <v>27</v>
      </c>
      <c r="N500" s="4" t="str">
        <f>IF(I500=_xlfn.XLOOKUP(F500,Lists!$D$2:$D$13,Lists!$E$2:$E$13,"Not Found"),"OK","Check Price")</f>
        <v>OK</v>
      </c>
    </row>
    <row r="501" spans="1:14" ht="15.5" thickTop="1" thickBot="1" x14ac:dyDescent="0.4">
      <c r="A501" s="36" t="str">
        <f t="shared" si="14"/>
        <v>ORD0500</v>
      </c>
      <c r="B501" s="34">
        <v>45980</v>
      </c>
      <c r="C501" s="37" t="s">
        <v>59</v>
      </c>
      <c r="D501" s="37" t="s">
        <v>48</v>
      </c>
      <c r="E501" s="37" t="s">
        <v>18</v>
      </c>
      <c r="F501" s="37" t="s">
        <v>46</v>
      </c>
      <c r="G501" s="35" t="str">
        <f>_xlfn.XLOOKUP(F501,Lists!$J$2:$J$13,Lists!$K$2:$K$13,"Not Found")</f>
        <v>Furniture</v>
      </c>
      <c r="H501" s="37">
        <v>3</v>
      </c>
      <c r="I501" s="35">
        <f>_xlfn.XLOOKUP(F501,Lists!$D$2:$D$13,Lists!$E$2:$E$13,"Not Found")</f>
        <v>22000</v>
      </c>
      <c r="J501" s="47">
        <v>0.15</v>
      </c>
      <c r="K501" s="35">
        <f t="shared" si="15"/>
        <v>56100</v>
      </c>
      <c r="L501" s="37" t="s">
        <v>37</v>
      </c>
      <c r="M501" s="37" t="s">
        <v>27</v>
      </c>
      <c r="N501" s="4" t="str">
        <f>IF(I501=_xlfn.XLOOKUP(F501,Lists!$D$2:$D$13,Lists!$E$2:$E$13,"Not Found"),"OK","Check Price")</f>
        <v>OK</v>
      </c>
    </row>
    <row r="502" spans="1:14" ht="15.5" thickTop="1" thickBot="1" x14ac:dyDescent="0.4">
      <c r="A502" s="36" t="str">
        <f t="shared" si="14"/>
        <v>ORD0501</v>
      </c>
      <c r="B502" s="34">
        <v>45390</v>
      </c>
      <c r="C502" s="38" t="s">
        <v>76</v>
      </c>
      <c r="D502" s="38" t="s">
        <v>28</v>
      </c>
      <c r="E502" s="38" t="s">
        <v>29</v>
      </c>
      <c r="F502" s="38" t="s">
        <v>46</v>
      </c>
      <c r="G502" s="35" t="str">
        <f>_xlfn.XLOOKUP(F502,Lists!$J$2:$J$13,Lists!$K$2:$K$13,"Not Found")</f>
        <v>Furniture</v>
      </c>
      <c r="H502" s="38">
        <v>8</v>
      </c>
      <c r="I502" s="35">
        <f>_xlfn.XLOOKUP(F502,Lists!$D$2:$D$13,Lists!$E$2:$E$13,"Not Found")</f>
        <v>22000</v>
      </c>
      <c r="J502" s="48">
        <v>0.25</v>
      </c>
      <c r="K502" s="35">
        <f t="shared" si="15"/>
        <v>132000</v>
      </c>
      <c r="L502" s="38" t="s">
        <v>56</v>
      </c>
      <c r="M502" s="38" t="s">
        <v>38</v>
      </c>
      <c r="N502" s="4" t="str">
        <f>IF(I502=_xlfn.XLOOKUP(F502,Lists!$D$2:$D$13,Lists!$E$2:$E$13,"Not Found"),"OK","Check Price")</f>
        <v>OK</v>
      </c>
    </row>
    <row r="503" spans="1:14" ht="15.5" thickTop="1" thickBot="1" x14ac:dyDescent="0.4">
      <c r="A503" s="36" t="str">
        <f t="shared" si="14"/>
        <v>ORD0502</v>
      </c>
      <c r="B503" s="34">
        <v>45732</v>
      </c>
      <c r="C503" s="37" t="s">
        <v>64</v>
      </c>
      <c r="D503" s="37" t="s">
        <v>42</v>
      </c>
      <c r="E503" s="37" t="s">
        <v>119</v>
      </c>
      <c r="F503" s="37" t="s">
        <v>55</v>
      </c>
      <c r="G503" s="35" t="str">
        <f>_xlfn.XLOOKUP(F503,Lists!$J$2:$J$13,Lists!$K$2:$K$13,"Not Found")</f>
        <v>Office Supplies</v>
      </c>
      <c r="H503" s="37">
        <v>5</v>
      </c>
      <c r="I503" s="35">
        <f>_xlfn.XLOOKUP(F503,Lists!$D$2:$D$13,Lists!$E$2:$E$13,"Not Found")</f>
        <v>1500</v>
      </c>
      <c r="J503" s="47">
        <v>0.05</v>
      </c>
      <c r="K503" s="35">
        <f t="shared" si="15"/>
        <v>7125</v>
      </c>
      <c r="L503" s="37" t="s">
        <v>32</v>
      </c>
      <c r="M503" s="37" t="s">
        <v>33</v>
      </c>
      <c r="N503" s="4" t="str">
        <f>IF(I503=_xlfn.XLOOKUP(F503,Lists!$D$2:$D$13,Lists!$E$2:$E$13,"Not Found"),"OK","Check Price")</f>
        <v>OK</v>
      </c>
    </row>
    <row r="504" spans="1:14" ht="15.5" hidden="1" thickTop="1" thickBot="1" x14ac:dyDescent="0.4">
      <c r="A504" s="36" t="str">
        <f t="shared" si="14"/>
        <v>ORD0503</v>
      </c>
      <c r="B504" s="34">
        <v>45899</v>
      </c>
      <c r="C504" s="38" t="s">
        <v>78</v>
      </c>
      <c r="D504" s="38" t="s">
        <v>45</v>
      </c>
      <c r="E504" s="38" t="s">
        <v>119</v>
      </c>
      <c r="F504" s="38" t="s">
        <v>52</v>
      </c>
      <c r="G504" s="38" t="s">
        <v>24</v>
      </c>
      <c r="H504" s="38">
        <v>4</v>
      </c>
      <c r="I504" s="38">
        <v>28000</v>
      </c>
      <c r="J504" s="38">
        <v>0.1</v>
      </c>
      <c r="K504" s="38">
        <f t="shared" si="15"/>
        <v>100800</v>
      </c>
      <c r="L504" s="38" t="s">
        <v>53</v>
      </c>
      <c r="M504" s="38" t="s">
        <v>22</v>
      </c>
      <c r="N504" s="4" t="str">
        <f>IF(I504=_xlfn.XLOOKUP(F504,Lists!$D$2:$D$13,Lists!$E$2:$E$13,"Not Found"),"OK","Check Price")</f>
        <v>Check Price</v>
      </c>
    </row>
    <row r="505" spans="1:14" ht="15.5" hidden="1" thickTop="1" thickBot="1" x14ac:dyDescent="0.4">
      <c r="A505" s="36" t="str">
        <f t="shared" si="14"/>
        <v>ORD0504</v>
      </c>
      <c r="B505" s="34">
        <v>45365</v>
      </c>
      <c r="C505" s="37" t="s">
        <v>62</v>
      </c>
      <c r="D505" s="37" t="s">
        <v>42</v>
      </c>
      <c r="E505" s="37" t="s">
        <v>29</v>
      </c>
      <c r="F505" s="37" t="s">
        <v>43</v>
      </c>
      <c r="G505" s="37" t="s">
        <v>24</v>
      </c>
      <c r="H505" s="37">
        <v>3</v>
      </c>
      <c r="I505" s="37">
        <v>1500</v>
      </c>
      <c r="J505" s="37">
        <v>0.1</v>
      </c>
      <c r="K505" s="37">
        <f t="shared" si="15"/>
        <v>4050</v>
      </c>
      <c r="L505" s="37" t="s">
        <v>53</v>
      </c>
      <c r="M505" s="37" t="s">
        <v>27</v>
      </c>
      <c r="N505" s="4" t="str">
        <f>IF(I505=_xlfn.XLOOKUP(F505,Lists!$D$2:$D$13,Lists!$E$2:$E$13,"Not Found"),"OK","Check Price")</f>
        <v>Check Price</v>
      </c>
    </row>
    <row r="506" spans="1:14" ht="15.5" thickTop="1" thickBot="1" x14ac:dyDescent="0.4">
      <c r="A506" s="36" t="str">
        <f t="shared" si="14"/>
        <v>ORD0505</v>
      </c>
      <c r="B506" s="34">
        <v>45526</v>
      </c>
      <c r="C506" s="38" t="s">
        <v>62</v>
      </c>
      <c r="D506" s="38" t="s">
        <v>39</v>
      </c>
      <c r="E506" s="38" t="s">
        <v>79</v>
      </c>
      <c r="F506" s="38" t="s">
        <v>20</v>
      </c>
      <c r="G506" s="35" t="str">
        <f>_xlfn.XLOOKUP(F506,Lists!$J$2:$J$13,Lists!$K$2:$K$13,"Not Found")</f>
        <v>Electronics</v>
      </c>
      <c r="H506" s="38">
        <v>9</v>
      </c>
      <c r="I506" s="35">
        <f>_xlfn.XLOOKUP(F506,Lists!$D$2:$D$13,Lists!$E$2:$E$13,"Not Found")</f>
        <v>85000</v>
      </c>
      <c r="J506" s="48">
        <v>0.2</v>
      </c>
      <c r="K506" s="35">
        <f>H506*I506*(1-J506)</f>
        <v>612000</v>
      </c>
      <c r="L506" s="38" t="s">
        <v>41</v>
      </c>
      <c r="M506" s="38" t="s">
        <v>22</v>
      </c>
      <c r="N506" s="4" t="str">
        <f>IF(I506=_xlfn.XLOOKUP(F506,Lists!$D$2:$D$13,Lists!$E$2:$E$13,"Not Found"),"OK","Check Price")</f>
        <v>OK</v>
      </c>
    </row>
    <row r="507" spans="1:14" ht="15.5" hidden="1" thickTop="1" thickBot="1" x14ac:dyDescent="0.4">
      <c r="A507" s="36" t="str">
        <f t="shared" si="14"/>
        <v>ORD0506</v>
      </c>
      <c r="B507" s="34">
        <v>45512</v>
      </c>
      <c r="C507" s="37" t="s">
        <v>76</v>
      </c>
      <c r="D507" s="37" t="s">
        <v>28</v>
      </c>
      <c r="E507" s="37" t="s">
        <v>119</v>
      </c>
      <c r="F507" s="37" t="s">
        <v>58</v>
      </c>
      <c r="G507" s="37" t="s">
        <v>24</v>
      </c>
      <c r="H507" s="37">
        <v>2</v>
      </c>
      <c r="I507" s="37">
        <v>5000</v>
      </c>
      <c r="J507" s="37">
        <v>0.1</v>
      </c>
      <c r="K507" s="37">
        <f t="shared" si="15"/>
        <v>9000</v>
      </c>
      <c r="L507" s="37" t="s">
        <v>26</v>
      </c>
      <c r="M507" s="37" t="s">
        <v>33</v>
      </c>
      <c r="N507" s="4" t="str">
        <f>IF(I507=_xlfn.XLOOKUP(F507,Lists!$D$2:$D$13,Lists!$E$2:$E$13,"Not Found"),"OK","Check Price")</f>
        <v>OK</v>
      </c>
    </row>
    <row r="508" spans="1:14" ht="15.5" thickTop="1" thickBot="1" x14ac:dyDescent="0.4">
      <c r="A508" s="36" t="str">
        <f t="shared" si="14"/>
        <v>ORD0507</v>
      </c>
      <c r="B508" s="34">
        <v>45665</v>
      </c>
      <c r="C508" s="38" t="s">
        <v>74</v>
      </c>
      <c r="D508" s="38" t="s">
        <v>39</v>
      </c>
      <c r="E508" s="38" t="s">
        <v>80</v>
      </c>
      <c r="F508" s="38" t="s">
        <v>55</v>
      </c>
      <c r="G508" s="35" t="str">
        <f>_xlfn.XLOOKUP(F508,Lists!$J$2:$J$13,Lists!$K$2:$K$13,"Not Found")</f>
        <v>Office Supplies</v>
      </c>
      <c r="H508" s="38">
        <v>3</v>
      </c>
      <c r="I508" s="35">
        <f>_xlfn.XLOOKUP(F508,Lists!$D$2:$D$13,Lists!$E$2:$E$13,"Not Found")</f>
        <v>1500</v>
      </c>
      <c r="J508" s="48">
        <v>0.2</v>
      </c>
      <c r="K508" s="35">
        <f>H508*I508*(1-J508)</f>
        <v>3600</v>
      </c>
      <c r="L508" s="38" t="s">
        <v>32</v>
      </c>
      <c r="M508" s="38" t="s">
        <v>22</v>
      </c>
      <c r="N508" s="4" t="str">
        <f>IF(I508=_xlfn.XLOOKUP(F508,Lists!$D$2:$D$13,Lists!$E$2:$E$13,"Not Found"),"OK","Check Price")</f>
        <v>OK</v>
      </c>
    </row>
    <row r="509" spans="1:14" ht="15.5" hidden="1" thickTop="1" thickBot="1" x14ac:dyDescent="0.4">
      <c r="A509" s="36" t="str">
        <f t="shared" si="14"/>
        <v>ORD0508</v>
      </c>
      <c r="B509" s="34">
        <v>45946</v>
      </c>
      <c r="C509" s="37" t="s">
        <v>71</v>
      </c>
      <c r="D509" s="37" t="s">
        <v>51</v>
      </c>
      <c r="E509" s="37" t="s">
        <v>35</v>
      </c>
      <c r="F509" s="37" t="s">
        <v>43</v>
      </c>
      <c r="G509" s="37" t="s">
        <v>19</v>
      </c>
      <c r="H509" s="37">
        <v>3</v>
      </c>
      <c r="I509" s="37">
        <v>28000</v>
      </c>
      <c r="J509" s="37">
        <v>0.25</v>
      </c>
      <c r="K509" s="37">
        <f t="shared" si="15"/>
        <v>63000</v>
      </c>
      <c r="L509" s="37" t="s">
        <v>44</v>
      </c>
      <c r="M509" s="37" t="s">
        <v>22</v>
      </c>
      <c r="N509" s="4" t="str">
        <f>IF(I509=_xlfn.XLOOKUP(F509,Lists!$D$2:$D$13,Lists!$E$2:$E$13,"Not Found"),"OK","Check Price")</f>
        <v>Check Price</v>
      </c>
    </row>
    <row r="510" spans="1:14" ht="15.5" hidden="1" thickTop="1" thickBot="1" x14ac:dyDescent="0.4">
      <c r="A510" s="36" t="str">
        <f t="shared" si="14"/>
        <v>ORD0509</v>
      </c>
      <c r="B510" s="34">
        <v>45433</v>
      </c>
      <c r="C510" s="38" t="s">
        <v>60</v>
      </c>
      <c r="D510" s="38" t="s">
        <v>42</v>
      </c>
      <c r="E510" s="38" t="s">
        <v>35</v>
      </c>
      <c r="F510" s="38" t="s">
        <v>52</v>
      </c>
      <c r="G510" s="38" t="s">
        <v>19</v>
      </c>
      <c r="H510" s="38">
        <v>6</v>
      </c>
      <c r="I510" s="38">
        <v>22000</v>
      </c>
      <c r="J510" s="38">
        <v>0.2</v>
      </c>
      <c r="K510" s="38">
        <f t="shared" si="15"/>
        <v>105600</v>
      </c>
      <c r="L510" s="38" t="s">
        <v>53</v>
      </c>
      <c r="M510" s="38" t="s">
        <v>22</v>
      </c>
      <c r="N510" s="4" t="str">
        <f>IF(I510=_xlfn.XLOOKUP(F510,Lists!$D$2:$D$13,Lists!$E$2:$E$13,"Not Found"),"OK","Check Price")</f>
        <v>Check Price</v>
      </c>
    </row>
    <row r="511" spans="1:14" ht="15.5" hidden="1" thickTop="1" thickBot="1" x14ac:dyDescent="0.4">
      <c r="A511" s="36" t="str">
        <f t="shared" si="14"/>
        <v>ORD0510</v>
      </c>
      <c r="B511" s="34">
        <v>45779</v>
      </c>
      <c r="C511" s="37" t="s">
        <v>71</v>
      </c>
      <c r="D511" s="37" t="s">
        <v>48</v>
      </c>
      <c r="E511" s="37" t="s">
        <v>18</v>
      </c>
      <c r="F511" s="37" t="s">
        <v>57</v>
      </c>
      <c r="G511" s="37" t="s">
        <v>30</v>
      </c>
      <c r="H511" s="37">
        <v>1</v>
      </c>
      <c r="I511" s="37">
        <v>22000</v>
      </c>
      <c r="J511" s="37">
        <v>0.05</v>
      </c>
      <c r="K511" s="37">
        <f t="shared" si="15"/>
        <v>20900</v>
      </c>
      <c r="L511" s="37" t="s">
        <v>50</v>
      </c>
      <c r="M511" s="37" t="s">
        <v>33</v>
      </c>
      <c r="N511" s="4" t="str">
        <f>IF(I511=_xlfn.XLOOKUP(F511,Lists!$D$2:$D$13,Lists!$E$2:$E$13,"Not Found"),"OK","Check Price")</f>
        <v>Check Price</v>
      </c>
    </row>
    <row r="512" spans="1:14" ht="15.5" hidden="1" thickTop="1" thickBot="1" x14ac:dyDescent="0.4">
      <c r="A512" s="36" t="str">
        <f t="shared" si="14"/>
        <v>ORD0511</v>
      </c>
      <c r="B512" s="34">
        <v>45338</v>
      </c>
      <c r="C512" s="38" t="s">
        <v>71</v>
      </c>
      <c r="D512" s="38" t="s">
        <v>54</v>
      </c>
      <c r="E512" s="38" t="s">
        <v>119</v>
      </c>
      <c r="F512" s="38" t="s">
        <v>52</v>
      </c>
      <c r="G512" s="38" t="s">
        <v>19</v>
      </c>
      <c r="H512" s="38">
        <v>9</v>
      </c>
      <c r="I512" s="38">
        <v>28000</v>
      </c>
      <c r="J512" s="38">
        <v>0.1</v>
      </c>
      <c r="K512" s="38">
        <f t="shared" si="15"/>
        <v>226800</v>
      </c>
      <c r="L512" s="38" t="s">
        <v>56</v>
      </c>
      <c r="M512" s="38" t="s">
        <v>38</v>
      </c>
      <c r="N512" s="4" t="str">
        <f>IF(I512=_xlfn.XLOOKUP(F512,Lists!$D$2:$D$13,Lists!$E$2:$E$13,"Not Found"),"OK","Check Price")</f>
        <v>Check Price</v>
      </c>
    </row>
    <row r="513" spans="1:14" ht="15.5" hidden="1" thickTop="1" thickBot="1" x14ac:dyDescent="0.4">
      <c r="A513" s="36" t="str">
        <f t="shared" si="14"/>
        <v>ORD0512</v>
      </c>
      <c r="B513" s="34">
        <v>45340</v>
      </c>
      <c r="C513" s="37" t="s">
        <v>73</v>
      </c>
      <c r="D513" s="37" t="s">
        <v>51</v>
      </c>
      <c r="E513" s="37" t="s">
        <v>18</v>
      </c>
      <c r="F513" s="37" t="s">
        <v>49</v>
      </c>
      <c r="G513" s="37" t="s">
        <v>24</v>
      </c>
      <c r="H513" s="37">
        <v>6</v>
      </c>
      <c r="I513" s="37">
        <v>1500</v>
      </c>
      <c r="J513" s="37">
        <v>0.1</v>
      </c>
      <c r="K513" s="37">
        <f t="shared" si="15"/>
        <v>8100</v>
      </c>
      <c r="L513" s="37" t="s">
        <v>50</v>
      </c>
      <c r="M513" s="37" t="s">
        <v>33</v>
      </c>
      <c r="N513" s="4" t="str">
        <f>IF(I513=_xlfn.XLOOKUP(F513,Lists!$D$2:$D$13,Lists!$E$2:$E$13,"Not Found"),"OK","Check Price")</f>
        <v>Check Price</v>
      </c>
    </row>
    <row r="514" spans="1:14" ht="15.5" thickTop="1" thickBot="1" x14ac:dyDescent="0.4">
      <c r="A514" s="36" t="str">
        <f t="shared" si="14"/>
        <v>ORD0513</v>
      </c>
      <c r="B514" s="34">
        <v>45388</v>
      </c>
      <c r="C514" s="38" t="s">
        <v>63</v>
      </c>
      <c r="D514" s="38" t="s">
        <v>42</v>
      </c>
      <c r="E514" s="38" t="s">
        <v>18</v>
      </c>
      <c r="F514" s="38" t="s">
        <v>55</v>
      </c>
      <c r="G514" s="35" t="str">
        <f>_xlfn.XLOOKUP(F514,Lists!$J$2:$J$13,Lists!$K$2:$K$13,"Not Found")</f>
        <v>Office Supplies</v>
      </c>
      <c r="H514" s="38">
        <v>5</v>
      </c>
      <c r="I514" s="35">
        <f>_xlfn.XLOOKUP(F514,Lists!$D$2:$D$13,Lists!$E$2:$E$13,"Not Found")</f>
        <v>1500</v>
      </c>
      <c r="J514" s="48">
        <v>0.2</v>
      </c>
      <c r="K514" s="35">
        <f>H514*I514*(1-J514)</f>
        <v>6000</v>
      </c>
      <c r="L514" s="38" t="s">
        <v>47</v>
      </c>
      <c r="M514" s="38" t="s">
        <v>27</v>
      </c>
      <c r="N514" s="4" t="str">
        <f>IF(I514=_xlfn.XLOOKUP(F514,Lists!$D$2:$D$13,Lists!$E$2:$E$13,"Not Found"),"OK","Check Price")</f>
        <v>OK</v>
      </c>
    </row>
    <row r="515" spans="1:14" ht="15.5" hidden="1" thickTop="1" thickBot="1" x14ac:dyDescent="0.4">
      <c r="A515" s="36" t="str">
        <f t="shared" ref="A515:A578" si="16">"ORD"&amp;TEXT(ROW()-1,"0000")</f>
        <v>ORD0514</v>
      </c>
      <c r="B515" s="34">
        <v>45463</v>
      </c>
      <c r="C515" s="37" t="s">
        <v>59</v>
      </c>
      <c r="D515" s="37" t="s">
        <v>45</v>
      </c>
      <c r="E515" s="37" t="s">
        <v>80</v>
      </c>
      <c r="F515" s="37" t="s">
        <v>58</v>
      </c>
      <c r="G515" s="37" t="s">
        <v>24</v>
      </c>
      <c r="H515" s="37">
        <v>2</v>
      </c>
      <c r="I515" s="37">
        <v>5000</v>
      </c>
      <c r="J515" s="37">
        <v>0.1</v>
      </c>
      <c r="K515" s="37">
        <f t="shared" ref="K515:K578" si="17">H515*I515*(1-J515)</f>
        <v>9000</v>
      </c>
      <c r="L515" s="37" t="s">
        <v>26</v>
      </c>
      <c r="M515" s="37" t="s">
        <v>38</v>
      </c>
      <c r="N515" s="4" t="str">
        <f>IF(I515=_xlfn.XLOOKUP(F515,Lists!$D$2:$D$13,Lists!$E$2:$E$13,"Not Found"),"OK","Check Price")</f>
        <v>OK</v>
      </c>
    </row>
    <row r="516" spans="1:14" ht="15.5" hidden="1" thickTop="1" thickBot="1" x14ac:dyDescent="0.4">
      <c r="A516" s="36" t="str">
        <f t="shared" si="16"/>
        <v>ORD0515</v>
      </c>
      <c r="B516" s="34">
        <v>45567</v>
      </c>
      <c r="C516" s="38" t="s">
        <v>71</v>
      </c>
      <c r="D516" s="38" t="s">
        <v>39</v>
      </c>
      <c r="E516" s="38" t="s">
        <v>29</v>
      </c>
      <c r="F516" s="38" t="s">
        <v>58</v>
      </c>
      <c r="G516" s="38" t="s">
        <v>19</v>
      </c>
      <c r="H516" s="38">
        <v>8</v>
      </c>
      <c r="I516" s="38">
        <v>28000</v>
      </c>
      <c r="J516" s="38">
        <v>0.05</v>
      </c>
      <c r="K516" s="38">
        <f t="shared" si="17"/>
        <v>212800</v>
      </c>
      <c r="L516" s="38" t="s">
        <v>44</v>
      </c>
      <c r="M516" s="38" t="s">
        <v>27</v>
      </c>
      <c r="N516" s="4" t="str">
        <f>IF(I516=_xlfn.XLOOKUP(F516,Lists!$D$2:$D$13,Lists!$E$2:$E$13,"Not Found"),"OK","Check Price")</f>
        <v>Check Price</v>
      </c>
    </row>
    <row r="517" spans="1:14" ht="15.5" hidden="1" thickTop="1" thickBot="1" x14ac:dyDescent="0.4">
      <c r="A517" s="36" t="str">
        <f t="shared" si="16"/>
        <v>ORD0516</v>
      </c>
      <c r="B517" s="34">
        <v>45885</v>
      </c>
      <c r="C517" s="37" t="s">
        <v>69</v>
      </c>
      <c r="D517" s="37" t="s">
        <v>17</v>
      </c>
      <c r="E517" s="37" t="s">
        <v>35</v>
      </c>
      <c r="F517" s="37" t="s">
        <v>40</v>
      </c>
      <c r="G517" s="37" t="s">
        <v>19</v>
      </c>
      <c r="H517" s="37">
        <v>3</v>
      </c>
      <c r="I517" s="37">
        <v>12000</v>
      </c>
      <c r="J517" s="37">
        <v>0.2</v>
      </c>
      <c r="K517" s="37">
        <f t="shared" si="17"/>
        <v>28800</v>
      </c>
      <c r="L517" s="37" t="s">
        <v>53</v>
      </c>
      <c r="M517" s="37" t="s">
        <v>38</v>
      </c>
      <c r="N517" s="4" t="str">
        <f>IF(I517=_xlfn.XLOOKUP(F517,Lists!$D$2:$D$13,Lists!$E$2:$E$13,"Not Found"),"OK","Check Price")</f>
        <v>Check Price</v>
      </c>
    </row>
    <row r="518" spans="1:14" ht="15.5" hidden="1" thickTop="1" thickBot="1" x14ac:dyDescent="0.4">
      <c r="A518" s="36" t="str">
        <f t="shared" si="16"/>
        <v>ORD0517</v>
      </c>
      <c r="B518" s="34">
        <v>45369</v>
      </c>
      <c r="C518" s="38" t="s">
        <v>66</v>
      </c>
      <c r="D518" s="38" t="s">
        <v>51</v>
      </c>
      <c r="E518" s="38" t="s">
        <v>35</v>
      </c>
      <c r="F518" s="38" t="s">
        <v>40</v>
      </c>
      <c r="G518" s="38" t="s">
        <v>30</v>
      </c>
      <c r="H518" s="38">
        <v>6</v>
      </c>
      <c r="I518" s="38">
        <v>1200</v>
      </c>
      <c r="J518" s="38">
        <v>0.25</v>
      </c>
      <c r="K518" s="38">
        <f t="shared" si="17"/>
        <v>5400</v>
      </c>
      <c r="L518" s="38" t="s">
        <v>32</v>
      </c>
      <c r="M518" s="38" t="s">
        <v>22</v>
      </c>
      <c r="N518" s="4" t="str">
        <f>IF(I518=_xlfn.XLOOKUP(F518,Lists!$D$2:$D$13,Lists!$E$2:$E$13,"Not Found"),"OK","Check Price")</f>
        <v>Check Price</v>
      </c>
    </row>
    <row r="519" spans="1:14" ht="15.5" hidden="1" thickTop="1" thickBot="1" x14ac:dyDescent="0.4">
      <c r="A519" s="36" t="str">
        <f t="shared" si="16"/>
        <v>ORD0518</v>
      </c>
      <c r="B519" s="34">
        <v>45999</v>
      </c>
      <c r="C519" s="37" t="s">
        <v>64</v>
      </c>
      <c r="D519" s="37" t="s">
        <v>45</v>
      </c>
      <c r="E519" s="37" t="s">
        <v>18</v>
      </c>
      <c r="F519" s="37" t="s">
        <v>52</v>
      </c>
      <c r="G519" s="37" t="s">
        <v>30</v>
      </c>
      <c r="H519" s="37">
        <v>2</v>
      </c>
      <c r="I519" s="37">
        <v>1200</v>
      </c>
      <c r="J519" s="37">
        <v>0.05</v>
      </c>
      <c r="K519" s="37">
        <f t="shared" si="17"/>
        <v>2280</v>
      </c>
      <c r="L519" s="37" t="s">
        <v>41</v>
      </c>
      <c r="M519" s="37" t="s">
        <v>38</v>
      </c>
      <c r="N519" s="4" t="str">
        <f>IF(I519=_xlfn.XLOOKUP(F519,Lists!$D$2:$D$13,Lists!$E$2:$E$13,"Not Found"),"OK","Check Price")</f>
        <v>OK</v>
      </c>
    </row>
    <row r="520" spans="1:14" ht="15.5" hidden="1" thickTop="1" thickBot="1" x14ac:dyDescent="0.4">
      <c r="A520" s="36" t="str">
        <f t="shared" si="16"/>
        <v>ORD0519</v>
      </c>
      <c r="B520" s="34">
        <v>45979</v>
      </c>
      <c r="C520" s="38" t="s">
        <v>67</v>
      </c>
      <c r="D520" s="38" t="s">
        <v>45</v>
      </c>
      <c r="E520" s="38" t="s">
        <v>119</v>
      </c>
      <c r="F520" s="38" t="s">
        <v>52</v>
      </c>
      <c r="G520" s="38" t="s">
        <v>19</v>
      </c>
      <c r="H520" s="38">
        <v>10</v>
      </c>
      <c r="I520" s="38">
        <v>5000</v>
      </c>
      <c r="J520" s="38">
        <v>0.05</v>
      </c>
      <c r="K520" s="38">
        <f t="shared" si="17"/>
        <v>47500</v>
      </c>
      <c r="L520" s="38" t="s">
        <v>26</v>
      </c>
      <c r="M520" s="38" t="s">
        <v>22</v>
      </c>
      <c r="N520" s="4" t="str">
        <f>IF(I520=_xlfn.XLOOKUP(F520,Lists!$D$2:$D$13,Lists!$E$2:$E$13,"Not Found"),"OK","Check Price")</f>
        <v>Check Price</v>
      </c>
    </row>
    <row r="521" spans="1:14" ht="15.5" hidden="1" thickTop="1" thickBot="1" x14ac:dyDescent="0.4">
      <c r="A521" s="36" t="str">
        <f t="shared" si="16"/>
        <v>ORD0520</v>
      </c>
      <c r="B521" s="34">
        <v>45350</v>
      </c>
      <c r="C521" s="37" t="s">
        <v>71</v>
      </c>
      <c r="D521" s="37" t="s">
        <v>17</v>
      </c>
      <c r="E521" s="37" t="s">
        <v>119</v>
      </c>
      <c r="F521" s="37" t="s">
        <v>40</v>
      </c>
      <c r="G521" s="37" t="s">
        <v>19</v>
      </c>
      <c r="H521" s="37">
        <v>1</v>
      </c>
      <c r="I521" s="37">
        <v>30000</v>
      </c>
      <c r="J521" s="37">
        <v>0.25</v>
      </c>
      <c r="K521" s="37">
        <f t="shared" si="17"/>
        <v>22500</v>
      </c>
      <c r="L521" s="37" t="s">
        <v>47</v>
      </c>
      <c r="M521" s="37" t="s">
        <v>22</v>
      </c>
      <c r="N521" s="4" t="str">
        <f>IF(I521=_xlfn.XLOOKUP(F521,Lists!$D$2:$D$13,Lists!$E$2:$E$13,"Not Found"),"OK","Check Price")</f>
        <v>Check Price</v>
      </c>
    </row>
    <row r="522" spans="1:14" ht="15.5" hidden="1" thickTop="1" thickBot="1" x14ac:dyDescent="0.4">
      <c r="A522" s="36" t="str">
        <f t="shared" si="16"/>
        <v>ORD0521</v>
      </c>
      <c r="B522" s="34">
        <v>45900</v>
      </c>
      <c r="C522" s="38" t="s">
        <v>74</v>
      </c>
      <c r="D522" s="38" t="s">
        <v>54</v>
      </c>
      <c r="E522" s="38" t="s">
        <v>18</v>
      </c>
      <c r="F522" s="38" t="s">
        <v>57</v>
      </c>
      <c r="G522" s="38" t="s">
        <v>24</v>
      </c>
      <c r="H522" s="38">
        <v>10</v>
      </c>
      <c r="I522" s="38">
        <v>22000</v>
      </c>
      <c r="J522" s="38">
        <v>0.1</v>
      </c>
      <c r="K522" s="38">
        <f t="shared" si="17"/>
        <v>198000</v>
      </c>
      <c r="L522" s="38" t="s">
        <v>47</v>
      </c>
      <c r="M522" s="38" t="s">
        <v>27</v>
      </c>
      <c r="N522" s="4" t="str">
        <f>IF(I522=_xlfn.XLOOKUP(F522,Lists!$D$2:$D$13,Lists!$E$2:$E$13,"Not Found"),"OK","Check Price")</f>
        <v>Check Price</v>
      </c>
    </row>
    <row r="523" spans="1:14" ht="15.5" thickTop="1" thickBot="1" x14ac:dyDescent="0.4">
      <c r="A523" s="36" t="str">
        <f t="shared" si="16"/>
        <v>ORD0522</v>
      </c>
      <c r="B523" s="34">
        <v>45370</v>
      </c>
      <c r="C523" s="37" t="s">
        <v>63</v>
      </c>
      <c r="D523" s="37" t="s">
        <v>34</v>
      </c>
      <c r="E523" s="37" t="s">
        <v>35</v>
      </c>
      <c r="F523" s="37" t="s">
        <v>20</v>
      </c>
      <c r="G523" s="35" t="str">
        <f>_xlfn.XLOOKUP(F523,Lists!$J$2:$J$13,Lists!$K$2:$K$13,"Not Found")</f>
        <v>Electronics</v>
      </c>
      <c r="H523" s="37">
        <v>8</v>
      </c>
      <c r="I523" s="35">
        <f>_xlfn.XLOOKUP(F523,Lists!$D$2:$D$13,Lists!$E$2:$E$13,"Not Found")</f>
        <v>85000</v>
      </c>
      <c r="J523" s="47">
        <v>0.05</v>
      </c>
      <c r="K523" s="35">
        <f>H523*I523*(1-J523)</f>
        <v>646000</v>
      </c>
      <c r="L523" s="37" t="s">
        <v>21</v>
      </c>
      <c r="M523" s="37" t="s">
        <v>22</v>
      </c>
      <c r="N523" s="4" t="str">
        <f>IF(I523=_xlfn.XLOOKUP(F523,Lists!$D$2:$D$13,Lists!$E$2:$E$13,"Not Found"),"OK","Check Price")</f>
        <v>OK</v>
      </c>
    </row>
    <row r="524" spans="1:14" ht="15.5" hidden="1" thickTop="1" thickBot="1" x14ac:dyDescent="0.4">
      <c r="A524" s="36" t="str">
        <f t="shared" si="16"/>
        <v>ORD0523</v>
      </c>
      <c r="B524" s="34">
        <v>45798</v>
      </c>
      <c r="C524" s="38" t="s">
        <v>61</v>
      </c>
      <c r="D524" s="38" t="s">
        <v>39</v>
      </c>
      <c r="E524" s="38" t="s">
        <v>29</v>
      </c>
      <c r="F524" s="38" t="s">
        <v>40</v>
      </c>
      <c r="G524" s="38" t="s">
        <v>24</v>
      </c>
      <c r="H524" s="38">
        <v>2</v>
      </c>
      <c r="I524" s="38">
        <v>1200</v>
      </c>
      <c r="J524" s="38">
        <v>0.1</v>
      </c>
      <c r="K524" s="38">
        <f t="shared" si="17"/>
        <v>2160</v>
      </c>
      <c r="L524" s="38" t="s">
        <v>53</v>
      </c>
      <c r="M524" s="38" t="s">
        <v>22</v>
      </c>
      <c r="N524" s="4" t="str">
        <f>IF(I524=_xlfn.XLOOKUP(F524,Lists!$D$2:$D$13,Lists!$E$2:$E$13,"Not Found"),"OK","Check Price")</f>
        <v>Check Price</v>
      </c>
    </row>
    <row r="525" spans="1:14" ht="15.5" hidden="1" thickTop="1" thickBot="1" x14ac:dyDescent="0.4">
      <c r="A525" s="36" t="str">
        <f t="shared" si="16"/>
        <v>ORD0524</v>
      </c>
      <c r="B525" s="34">
        <v>45781</v>
      </c>
      <c r="C525" s="37" t="s">
        <v>61</v>
      </c>
      <c r="D525" s="37" t="s">
        <v>28</v>
      </c>
      <c r="E525" s="37" t="s">
        <v>80</v>
      </c>
      <c r="F525" s="37" t="s">
        <v>25</v>
      </c>
      <c r="G525" s="37" t="s">
        <v>19</v>
      </c>
      <c r="H525" s="37">
        <v>8</v>
      </c>
      <c r="I525" s="37">
        <v>350</v>
      </c>
      <c r="J525" s="37">
        <v>0.05</v>
      </c>
      <c r="K525" s="37">
        <f t="shared" si="17"/>
        <v>2660</v>
      </c>
      <c r="L525" s="37" t="s">
        <v>32</v>
      </c>
      <c r="M525" s="37" t="s">
        <v>27</v>
      </c>
      <c r="N525" s="4" t="str">
        <f>IF(I525=_xlfn.XLOOKUP(F525,Lists!$D$2:$D$13,Lists!$E$2:$E$13,"Not Found"),"OK","Check Price")</f>
        <v>Check Price</v>
      </c>
    </row>
    <row r="526" spans="1:14" ht="15.5" hidden="1" thickTop="1" thickBot="1" x14ac:dyDescent="0.4">
      <c r="A526" s="36" t="str">
        <f t="shared" si="16"/>
        <v>ORD0525</v>
      </c>
      <c r="B526" s="34">
        <v>45833</v>
      </c>
      <c r="C526" s="38" t="s">
        <v>72</v>
      </c>
      <c r="D526" s="38" t="s">
        <v>39</v>
      </c>
      <c r="E526" s="38" t="s">
        <v>119</v>
      </c>
      <c r="F526" s="38" t="s">
        <v>43</v>
      </c>
      <c r="G526" s="38" t="s">
        <v>19</v>
      </c>
      <c r="H526" s="38">
        <v>7</v>
      </c>
      <c r="I526" s="38">
        <v>28000</v>
      </c>
      <c r="J526" s="38">
        <v>0.05</v>
      </c>
      <c r="K526" s="38">
        <f t="shared" si="17"/>
        <v>186200</v>
      </c>
      <c r="L526" s="38" t="s">
        <v>21</v>
      </c>
      <c r="M526" s="38" t="s">
        <v>38</v>
      </c>
      <c r="N526" s="4" t="str">
        <f>IF(I526=_xlfn.XLOOKUP(F526,Lists!$D$2:$D$13,Lists!$E$2:$E$13,"Not Found"),"OK","Check Price")</f>
        <v>Check Price</v>
      </c>
    </row>
    <row r="527" spans="1:14" ht="15.5" hidden="1" thickTop="1" thickBot="1" x14ac:dyDescent="0.4">
      <c r="A527" s="36" t="str">
        <f t="shared" si="16"/>
        <v>ORD0526</v>
      </c>
      <c r="B527" s="34">
        <v>45694</v>
      </c>
      <c r="C527" s="37" t="s">
        <v>61</v>
      </c>
      <c r="D527" s="37" t="s">
        <v>17</v>
      </c>
      <c r="E527" s="37" t="s">
        <v>29</v>
      </c>
      <c r="F527" s="37" t="s">
        <v>43</v>
      </c>
      <c r="G527" s="37" t="s">
        <v>19</v>
      </c>
      <c r="H527" s="37">
        <v>6</v>
      </c>
      <c r="I527" s="37">
        <v>2000</v>
      </c>
      <c r="J527" s="37">
        <v>0.2</v>
      </c>
      <c r="K527" s="37">
        <f t="shared" si="17"/>
        <v>9600</v>
      </c>
      <c r="L527" s="37" t="s">
        <v>44</v>
      </c>
      <c r="M527" s="37" t="s">
        <v>27</v>
      </c>
      <c r="N527" s="4" t="str">
        <f>IF(I527=_xlfn.XLOOKUP(F527,Lists!$D$2:$D$13,Lists!$E$2:$E$13,"Not Found"),"OK","Check Price")</f>
        <v>Check Price</v>
      </c>
    </row>
    <row r="528" spans="1:14" ht="15.5" hidden="1" thickTop="1" thickBot="1" x14ac:dyDescent="0.4">
      <c r="A528" s="36" t="str">
        <f t="shared" si="16"/>
        <v>ORD0527</v>
      </c>
      <c r="B528" s="34">
        <v>45399</v>
      </c>
      <c r="C528" s="38" t="s">
        <v>77</v>
      </c>
      <c r="D528" s="38" t="s">
        <v>23</v>
      </c>
      <c r="E528" s="38" t="s">
        <v>35</v>
      </c>
      <c r="F528" s="38" t="s">
        <v>52</v>
      </c>
      <c r="G528" s="38" t="s">
        <v>19</v>
      </c>
      <c r="H528" s="38">
        <v>1</v>
      </c>
      <c r="I528" s="38">
        <v>4000</v>
      </c>
      <c r="J528" s="38">
        <v>0.05</v>
      </c>
      <c r="K528" s="38">
        <f t="shared" si="17"/>
        <v>3800</v>
      </c>
      <c r="L528" s="38" t="s">
        <v>53</v>
      </c>
      <c r="M528" s="38" t="s">
        <v>33</v>
      </c>
      <c r="N528" s="4" t="str">
        <f>IF(I528=_xlfn.XLOOKUP(F528,Lists!$D$2:$D$13,Lists!$E$2:$E$13,"Not Found"),"OK","Check Price")</f>
        <v>Check Price</v>
      </c>
    </row>
    <row r="529" spans="1:14" ht="15.5" hidden="1" thickTop="1" thickBot="1" x14ac:dyDescent="0.4">
      <c r="A529" s="36" t="str">
        <f t="shared" si="16"/>
        <v>ORD0528</v>
      </c>
      <c r="B529" s="34">
        <v>45967</v>
      </c>
      <c r="C529" s="37" t="s">
        <v>65</v>
      </c>
      <c r="D529" s="37" t="s">
        <v>34</v>
      </c>
      <c r="E529" s="37" t="s">
        <v>79</v>
      </c>
      <c r="F529" s="37" t="s">
        <v>49</v>
      </c>
      <c r="G529" s="37" t="s">
        <v>19</v>
      </c>
      <c r="H529" s="37">
        <v>5</v>
      </c>
      <c r="I529" s="37">
        <v>1200</v>
      </c>
      <c r="J529" s="37">
        <v>0.1</v>
      </c>
      <c r="K529" s="37">
        <f t="shared" si="17"/>
        <v>5400</v>
      </c>
      <c r="L529" s="37" t="s">
        <v>41</v>
      </c>
      <c r="M529" s="37" t="s">
        <v>33</v>
      </c>
      <c r="N529" s="4" t="str">
        <f>IF(I529=_xlfn.XLOOKUP(F529,Lists!$D$2:$D$13,Lists!$E$2:$E$13,"Not Found"),"OK","Check Price")</f>
        <v>Check Price</v>
      </c>
    </row>
    <row r="530" spans="1:14" ht="15.5" hidden="1" thickTop="1" thickBot="1" x14ac:dyDescent="0.4">
      <c r="A530" s="36" t="str">
        <f t="shared" si="16"/>
        <v>ORD0529</v>
      </c>
      <c r="B530" s="34">
        <v>45890</v>
      </c>
      <c r="C530" s="38" t="s">
        <v>62</v>
      </c>
      <c r="D530" s="38" t="s">
        <v>51</v>
      </c>
      <c r="E530" s="38" t="s">
        <v>80</v>
      </c>
      <c r="F530" s="38" t="s">
        <v>36</v>
      </c>
      <c r="G530" s="38" t="s">
        <v>30</v>
      </c>
      <c r="H530" s="38">
        <v>6</v>
      </c>
      <c r="I530" s="38">
        <v>22000</v>
      </c>
      <c r="J530" s="38">
        <v>0.1</v>
      </c>
      <c r="K530" s="38">
        <f t="shared" si="17"/>
        <v>118800</v>
      </c>
      <c r="L530" s="38" t="s">
        <v>53</v>
      </c>
      <c r="M530" s="38" t="s">
        <v>33</v>
      </c>
      <c r="N530" s="4" t="str">
        <f>IF(I530=_xlfn.XLOOKUP(F530,Lists!$D$2:$D$13,Lists!$E$2:$E$13,"Not Found"),"OK","Check Price")</f>
        <v>Check Price</v>
      </c>
    </row>
    <row r="531" spans="1:14" ht="15.5" hidden="1" thickTop="1" thickBot="1" x14ac:dyDescent="0.4">
      <c r="A531" s="36" t="str">
        <f t="shared" si="16"/>
        <v>ORD0530</v>
      </c>
      <c r="B531" s="34">
        <v>45392</v>
      </c>
      <c r="C531" s="37" t="s">
        <v>68</v>
      </c>
      <c r="D531" s="37" t="s">
        <v>54</v>
      </c>
      <c r="E531" s="37" t="s">
        <v>35</v>
      </c>
      <c r="F531" s="37" t="s">
        <v>31</v>
      </c>
      <c r="G531" s="37" t="s">
        <v>19</v>
      </c>
      <c r="H531" s="37">
        <v>4</v>
      </c>
      <c r="I531" s="37">
        <v>2500</v>
      </c>
      <c r="J531" s="37">
        <v>0.15</v>
      </c>
      <c r="K531" s="37">
        <f t="shared" si="17"/>
        <v>8500</v>
      </c>
      <c r="L531" s="37" t="s">
        <v>44</v>
      </c>
      <c r="M531" s="37" t="s">
        <v>22</v>
      </c>
      <c r="N531" s="4" t="str">
        <f>IF(I531=_xlfn.XLOOKUP(F531,Lists!$D$2:$D$13,Lists!$E$2:$E$13,"Not Found"),"OK","Check Price")</f>
        <v>Check Price</v>
      </c>
    </row>
    <row r="532" spans="1:14" ht="15.5" hidden="1" thickTop="1" thickBot="1" x14ac:dyDescent="0.4">
      <c r="A532" s="36" t="str">
        <f t="shared" si="16"/>
        <v>ORD0531</v>
      </c>
      <c r="B532" s="34">
        <v>45899</v>
      </c>
      <c r="C532" s="38" t="s">
        <v>64</v>
      </c>
      <c r="D532" s="38" t="s">
        <v>23</v>
      </c>
      <c r="E532" s="38" t="s">
        <v>35</v>
      </c>
      <c r="F532" s="38" t="s">
        <v>49</v>
      </c>
      <c r="G532" s="38" t="s">
        <v>19</v>
      </c>
      <c r="H532" s="38">
        <v>6</v>
      </c>
      <c r="I532" s="38">
        <v>350</v>
      </c>
      <c r="J532" s="38">
        <v>0.15</v>
      </c>
      <c r="K532" s="38">
        <f t="shared" si="17"/>
        <v>1785</v>
      </c>
      <c r="L532" s="38" t="s">
        <v>21</v>
      </c>
      <c r="M532" s="38" t="s">
        <v>22</v>
      </c>
      <c r="N532" s="4" t="str">
        <f>IF(I532=_xlfn.XLOOKUP(F532,Lists!$D$2:$D$13,Lists!$E$2:$E$13,"Not Found"),"OK","Check Price")</f>
        <v>OK</v>
      </c>
    </row>
    <row r="533" spans="1:14" ht="15.5" hidden="1" thickTop="1" thickBot="1" x14ac:dyDescent="0.4">
      <c r="A533" s="36" t="str">
        <f t="shared" si="16"/>
        <v>ORD0532</v>
      </c>
      <c r="B533" s="34">
        <v>45972</v>
      </c>
      <c r="C533" s="37" t="s">
        <v>65</v>
      </c>
      <c r="D533" s="37" t="s">
        <v>39</v>
      </c>
      <c r="E533" s="37" t="s">
        <v>79</v>
      </c>
      <c r="F533" s="37" t="s">
        <v>31</v>
      </c>
      <c r="G533" s="37" t="s">
        <v>24</v>
      </c>
      <c r="H533" s="37">
        <v>1</v>
      </c>
      <c r="I533" s="37">
        <v>2000</v>
      </c>
      <c r="J533" s="37">
        <v>0.15</v>
      </c>
      <c r="K533" s="37">
        <f t="shared" si="17"/>
        <v>1700</v>
      </c>
      <c r="L533" s="37" t="s">
        <v>32</v>
      </c>
      <c r="M533" s="37" t="s">
        <v>38</v>
      </c>
      <c r="N533" s="4" t="str">
        <f>IF(I533=_xlfn.XLOOKUP(F533,Lists!$D$2:$D$13,Lists!$E$2:$E$13,"Not Found"),"OK","Check Price")</f>
        <v>Check Price</v>
      </c>
    </row>
    <row r="534" spans="1:14" ht="15.5" hidden="1" thickTop="1" thickBot="1" x14ac:dyDescent="0.4">
      <c r="A534" s="36" t="str">
        <f t="shared" si="16"/>
        <v>ORD0533</v>
      </c>
      <c r="B534" s="34">
        <v>45322</v>
      </c>
      <c r="C534" s="38" t="s">
        <v>63</v>
      </c>
      <c r="D534" s="38" t="s">
        <v>51</v>
      </c>
      <c r="E534" s="38" t="s">
        <v>80</v>
      </c>
      <c r="F534" s="38" t="s">
        <v>36</v>
      </c>
      <c r="G534" s="38" t="s">
        <v>24</v>
      </c>
      <c r="H534" s="38">
        <v>9</v>
      </c>
      <c r="I534" s="38">
        <v>1500</v>
      </c>
      <c r="J534" s="38">
        <v>0.25</v>
      </c>
      <c r="K534" s="38">
        <f t="shared" si="17"/>
        <v>10125</v>
      </c>
      <c r="L534" s="38" t="s">
        <v>50</v>
      </c>
      <c r="M534" s="38" t="s">
        <v>22</v>
      </c>
      <c r="N534" s="4" t="str">
        <f>IF(I534=_xlfn.XLOOKUP(F534,Lists!$D$2:$D$13,Lists!$E$2:$E$13,"Not Found"),"OK","Check Price")</f>
        <v>Check Price</v>
      </c>
    </row>
    <row r="535" spans="1:14" ht="15.5" hidden="1" thickTop="1" thickBot="1" x14ac:dyDescent="0.4">
      <c r="A535" s="36" t="str">
        <f t="shared" si="16"/>
        <v>ORD0534</v>
      </c>
      <c r="B535" s="34">
        <v>45701</v>
      </c>
      <c r="C535" s="37" t="s">
        <v>62</v>
      </c>
      <c r="D535" s="37" t="s">
        <v>17</v>
      </c>
      <c r="E535" s="37" t="s">
        <v>18</v>
      </c>
      <c r="F535" s="37" t="s">
        <v>25</v>
      </c>
      <c r="G535" s="37" t="s">
        <v>24</v>
      </c>
      <c r="H535" s="37">
        <v>2</v>
      </c>
      <c r="I535" s="37">
        <v>4000</v>
      </c>
      <c r="J535" s="37">
        <v>0.15</v>
      </c>
      <c r="K535" s="37">
        <f t="shared" si="17"/>
        <v>6800</v>
      </c>
      <c r="L535" s="37" t="s">
        <v>56</v>
      </c>
      <c r="M535" s="37" t="s">
        <v>38</v>
      </c>
      <c r="N535" s="4" t="str">
        <f>IF(I535=_xlfn.XLOOKUP(F535,Lists!$D$2:$D$13,Lists!$E$2:$E$13,"Not Found"),"OK","Check Price")</f>
        <v>Check Price</v>
      </c>
    </row>
    <row r="536" spans="1:14" ht="15.5" hidden="1" thickTop="1" thickBot="1" x14ac:dyDescent="0.4">
      <c r="A536" s="36" t="str">
        <f t="shared" si="16"/>
        <v>ORD0535</v>
      </c>
      <c r="B536" s="34">
        <v>45660</v>
      </c>
      <c r="C536" s="38" t="s">
        <v>65</v>
      </c>
      <c r="D536" s="38" t="s">
        <v>45</v>
      </c>
      <c r="E536" s="38" t="s">
        <v>79</v>
      </c>
      <c r="F536" s="38" t="s">
        <v>25</v>
      </c>
      <c r="G536" s="38" t="s">
        <v>30</v>
      </c>
      <c r="H536" s="38">
        <v>10</v>
      </c>
      <c r="I536" s="38">
        <v>28000</v>
      </c>
      <c r="J536" s="38">
        <v>0.25</v>
      </c>
      <c r="K536" s="38">
        <f t="shared" si="17"/>
        <v>210000</v>
      </c>
      <c r="L536" s="38" t="s">
        <v>47</v>
      </c>
      <c r="M536" s="38" t="s">
        <v>38</v>
      </c>
      <c r="N536" s="4" t="str">
        <f>IF(I536=_xlfn.XLOOKUP(F536,Lists!$D$2:$D$13,Lists!$E$2:$E$13,"Not Found"),"OK","Check Price")</f>
        <v>Check Price</v>
      </c>
    </row>
    <row r="537" spans="1:14" ht="15.5" thickTop="1" thickBot="1" x14ac:dyDescent="0.4">
      <c r="A537" s="36" t="str">
        <f t="shared" si="16"/>
        <v>ORD0536</v>
      </c>
      <c r="B537" s="34">
        <v>45549</v>
      </c>
      <c r="C537" s="37" t="s">
        <v>76</v>
      </c>
      <c r="D537" s="37" t="s">
        <v>54</v>
      </c>
      <c r="E537" s="37" t="s">
        <v>35</v>
      </c>
      <c r="F537" s="37" t="s">
        <v>46</v>
      </c>
      <c r="G537" s="35" t="str">
        <f>_xlfn.XLOOKUP(F537,Lists!$J$2:$J$13,Lists!$K$2:$K$13,"Not Found")</f>
        <v>Furniture</v>
      </c>
      <c r="H537" s="37">
        <v>7</v>
      </c>
      <c r="I537" s="35">
        <f>_xlfn.XLOOKUP(F537,Lists!$D$2:$D$13,Lists!$E$2:$E$13,"Not Found")</f>
        <v>22000</v>
      </c>
      <c r="J537" s="47">
        <v>0.15</v>
      </c>
      <c r="K537" s="35">
        <f>H537*I537*(1-J537)</f>
        <v>130900</v>
      </c>
      <c r="L537" s="37" t="s">
        <v>50</v>
      </c>
      <c r="M537" s="37" t="s">
        <v>22</v>
      </c>
      <c r="N537" s="4" t="str">
        <f>IF(I537=_xlfn.XLOOKUP(F537,Lists!$D$2:$D$13,Lists!$E$2:$E$13,"Not Found"),"OK","Check Price")</f>
        <v>OK</v>
      </c>
    </row>
    <row r="538" spans="1:14" ht="15.5" hidden="1" thickTop="1" thickBot="1" x14ac:dyDescent="0.4">
      <c r="A538" s="36" t="str">
        <f t="shared" si="16"/>
        <v>ORD0537</v>
      </c>
      <c r="B538" s="34">
        <v>45532</v>
      </c>
      <c r="C538" s="38" t="s">
        <v>75</v>
      </c>
      <c r="D538" s="38" t="s">
        <v>51</v>
      </c>
      <c r="E538" s="38" t="s">
        <v>18</v>
      </c>
      <c r="F538" s="38" t="s">
        <v>52</v>
      </c>
      <c r="G538" s="38" t="s">
        <v>19</v>
      </c>
      <c r="H538" s="38">
        <v>9</v>
      </c>
      <c r="I538" s="38">
        <v>2500</v>
      </c>
      <c r="J538" s="38">
        <v>0.2</v>
      </c>
      <c r="K538" s="38">
        <f t="shared" si="17"/>
        <v>18000</v>
      </c>
      <c r="L538" s="38" t="s">
        <v>41</v>
      </c>
      <c r="M538" s="38" t="s">
        <v>33</v>
      </c>
      <c r="N538" s="4" t="str">
        <f>IF(I538=_xlfn.XLOOKUP(F538,Lists!$D$2:$D$13,Lists!$E$2:$E$13,"Not Found"),"OK","Check Price")</f>
        <v>Check Price</v>
      </c>
    </row>
    <row r="539" spans="1:14" ht="15.5" thickTop="1" thickBot="1" x14ac:dyDescent="0.4">
      <c r="A539" s="36" t="str">
        <f t="shared" si="16"/>
        <v>ORD0538</v>
      </c>
      <c r="B539" s="34">
        <v>45654</v>
      </c>
      <c r="C539" s="37" t="s">
        <v>69</v>
      </c>
      <c r="D539" s="37" t="s">
        <v>17</v>
      </c>
      <c r="E539" s="37" t="s">
        <v>119</v>
      </c>
      <c r="F539" s="37" t="s">
        <v>55</v>
      </c>
      <c r="G539" s="35" t="str">
        <f>_xlfn.XLOOKUP(F539,Lists!$J$2:$J$13,Lists!$K$2:$K$13,"Not Found")</f>
        <v>Office Supplies</v>
      </c>
      <c r="H539" s="37">
        <v>2</v>
      </c>
      <c r="I539" s="35">
        <f>_xlfn.XLOOKUP(F539,Lists!$D$2:$D$13,Lists!$E$2:$E$13,"Not Found")</f>
        <v>1500</v>
      </c>
      <c r="J539" s="47">
        <v>0.15</v>
      </c>
      <c r="K539" s="35">
        <f>H539*I539*(1-J539)</f>
        <v>2550</v>
      </c>
      <c r="L539" s="37" t="s">
        <v>32</v>
      </c>
      <c r="M539" s="37" t="s">
        <v>22</v>
      </c>
      <c r="N539" s="4" t="str">
        <f>IF(I539=_xlfn.XLOOKUP(F539,Lists!$D$2:$D$13,Lists!$E$2:$E$13,"Not Found"),"OK","Check Price")</f>
        <v>OK</v>
      </c>
    </row>
    <row r="540" spans="1:14" ht="15.5" hidden="1" thickTop="1" thickBot="1" x14ac:dyDescent="0.4">
      <c r="A540" s="36" t="str">
        <f t="shared" si="16"/>
        <v>ORD0539</v>
      </c>
      <c r="B540" s="34">
        <v>45748</v>
      </c>
      <c r="C540" s="38" t="s">
        <v>69</v>
      </c>
      <c r="D540" s="38" t="s">
        <v>45</v>
      </c>
      <c r="E540" s="38" t="s">
        <v>35</v>
      </c>
      <c r="F540" s="38" t="s">
        <v>58</v>
      </c>
      <c r="G540" s="38" t="s">
        <v>24</v>
      </c>
      <c r="H540" s="38">
        <v>2</v>
      </c>
      <c r="I540" s="38">
        <v>2000</v>
      </c>
      <c r="J540" s="38">
        <v>0.1</v>
      </c>
      <c r="K540" s="38">
        <f t="shared" si="17"/>
        <v>3600</v>
      </c>
      <c r="L540" s="38" t="s">
        <v>37</v>
      </c>
      <c r="M540" s="38" t="s">
        <v>27</v>
      </c>
      <c r="N540" s="4" t="str">
        <f>IF(I540=_xlfn.XLOOKUP(F540,Lists!$D$2:$D$13,Lists!$E$2:$E$13,"Not Found"),"OK","Check Price")</f>
        <v>Check Price</v>
      </c>
    </row>
    <row r="541" spans="1:14" ht="15.5" hidden="1" thickTop="1" thickBot="1" x14ac:dyDescent="0.4">
      <c r="A541" s="36" t="str">
        <f t="shared" si="16"/>
        <v>ORD0540</v>
      </c>
      <c r="B541" s="34">
        <v>45662</v>
      </c>
      <c r="C541" s="37" t="s">
        <v>60</v>
      </c>
      <c r="D541" s="37" t="s">
        <v>48</v>
      </c>
      <c r="E541" s="37" t="s">
        <v>80</v>
      </c>
      <c r="F541" s="37" t="s">
        <v>49</v>
      </c>
      <c r="G541" s="37" t="s">
        <v>19</v>
      </c>
      <c r="H541" s="37">
        <v>2</v>
      </c>
      <c r="I541" s="37">
        <v>1200</v>
      </c>
      <c r="J541" s="37">
        <v>0.25</v>
      </c>
      <c r="K541" s="37">
        <f t="shared" si="17"/>
        <v>1800</v>
      </c>
      <c r="L541" s="37" t="s">
        <v>32</v>
      </c>
      <c r="M541" s="37" t="s">
        <v>38</v>
      </c>
      <c r="N541" s="4" t="str">
        <f>IF(I541=_xlfn.XLOOKUP(F541,Lists!$D$2:$D$13,Lists!$E$2:$E$13,"Not Found"),"OK","Check Price")</f>
        <v>Check Price</v>
      </c>
    </row>
    <row r="542" spans="1:14" ht="15.5" hidden="1" thickTop="1" thickBot="1" x14ac:dyDescent="0.4">
      <c r="A542" s="36" t="str">
        <f t="shared" si="16"/>
        <v>ORD0541</v>
      </c>
      <c r="B542" s="34">
        <v>45688</v>
      </c>
      <c r="C542" s="38" t="s">
        <v>76</v>
      </c>
      <c r="D542" s="38" t="s">
        <v>51</v>
      </c>
      <c r="E542" s="38" t="s">
        <v>119</v>
      </c>
      <c r="F542" s="38" t="s">
        <v>36</v>
      </c>
      <c r="G542" s="38" t="s">
        <v>24</v>
      </c>
      <c r="H542" s="38">
        <v>2</v>
      </c>
      <c r="I542" s="38">
        <v>2000</v>
      </c>
      <c r="J542" s="38">
        <v>0.1</v>
      </c>
      <c r="K542" s="38">
        <f t="shared" si="17"/>
        <v>3600</v>
      </c>
      <c r="L542" s="38" t="s">
        <v>47</v>
      </c>
      <c r="M542" s="38" t="s">
        <v>27</v>
      </c>
      <c r="N542" s="4" t="str">
        <f>IF(I542=_xlfn.XLOOKUP(F542,Lists!$D$2:$D$13,Lists!$E$2:$E$13,"Not Found"),"OK","Check Price")</f>
        <v>Check Price</v>
      </c>
    </row>
    <row r="543" spans="1:14" ht="15.5" thickTop="1" thickBot="1" x14ac:dyDescent="0.4">
      <c r="A543" s="36" t="str">
        <f t="shared" si="16"/>
        <v>ORD0542</v>
      </c>
      <c r="B543" s="34">
        <v>45706</v>
      </c>
      <c r="C543" s="37" t="s">
        <v>73</v>
      </c>
      <c r="D543" s="37" t="s">
        <v>34</v>
      </c>
      <c r="E543" s="37" t="s">
        <v>29</v>
      </c>
      <c r="F543" s="37" t="s">
        <v>20</v>
      </c>
      <c r="G543" s="35" t="str">
        <f>_xlfn.XLOOKUP(F543,Lists!$J$2:$J$13,Lists!$K$2:$K$13,"Not Found")</f>
        <v>Electronics</v>
      </c>
      <c r="H543" s="37">
        <v>10</v>
      </c>
      <c r="I543" s="35">
        <f>_xlfn.XLOOKUP(F543,Lists!$D$2:$D$13,Lists!$E$2:$E$13,"Not Found")</f>
        <v>85000</v>
      </c>
      <c r="J543" s="47">
        <v>0.1</v>
      </c>
      <c r="K543" s="35">
        <f>H543*I543*(1-J543)</f>
        <v>765000</v>
      </c>
      <c r="L543" s="37" t="s">
        <v>41</v>
      </c>
      <c r="M543" s="37" t="s">
        <v>33</v>
      </c>
      <c r="N543" s="4" t="str">
        <f>IF(I543=_xlfn.XLOOKUP(F543,Lists!$D$2:$D$13,Lists!$E$2:$E$13,"Not Found"),"OK","Check Price")</f>
        <v>OK</v>
      </c>
    </row>
    <row r="544" spans="1:14" ht="15.5" hidden="1" thickTop="1" thickBot="1" x14ac:dyDescent="0.4">
      <c r="A544" s="36" t="str">
        <f t="shared" si="16"/>
        <v>ORD0543</v>
      </c>
      <c r="B544" s="34">
        <v>45858</v>
      </c>
      <c r="C544" s="38" t="s">
        <v>66</v>
      </c>
      <c r="D544" s="38" t="s">
        <v>23</v>
      </c>
      <c r="E544" s="38" t="s">
        <v>18</v>
      </c>
      <c r="F544" s="38" t="s">
        <v>43</v>
      </c>
      <c r="G544" s="38" t="s">
        <v>30</v>
      </c>
      <c r="H544" s="38">
        <v>5</v>
      </c>
      <c r="I544" s="38">
        <v>28000</v>
      </c>
      <c r="J544" s="38">
        <v>0.25</v>
      </c>
      <c r="K544" s="38">
        <f t="shared" si="17"/>
        <v>105000</v>
      </c>
      <c r="L544" s="38" t="s">
        <v>41</v>
      </c>
      <c r="M544" s="38" t="s">
        <v>22</v>
      </c>
      <c r="N544" s="4" t="str">
        <f>IF(I544=_xlfn.XLOOKUP(F544,Lists!$D$2:$D$13,Lists!$E$2:$E$13,"Not Found"),"OK","Check Price")</f>
        <v>Check Price</v>
      </c>
    </row>
    <row r="545" spans="1:14" ht="15.5" hidden="1" thickTop="1" thickBot="1" x14ac:dyDescent="0.4">
      <c r="A545" s="36" t="str">
        <f t="shared" si="16"/>
        <v>ORD0544</v>
      </c>
      <c r="B545" s="34">
        <v>45639</v>
      </c>
      <c r="C545" s="37" t="s">
        <v>66</v>
      </c>
      <c r="D545" s="37" t="s">
        <v>48</v>
      </c>
      <c r="E545" s="37" t="s">
        <v>35</v>
      </c>
      <c r="F545" s="37" t="s">
        <v>36</v>
      </c>
      <c r="G545" s="37" t="s">
        <v>24</v>
      </c>
      <c r="H545" s="37">
        <v>3</v>
      </c>
      <c r="I545" s="37">
        <v>2000</v>
      </c>
      <c r="J545" s="37">
        <v>0.15</v>
      </c>
      <c r="K545" s="37">
        <f t="shared" si="17"/>
        <v>5100</v>
      </c>
      <c r="L545" s="37" t="s">
        <v>47</v>
      </c>
      <c r="M545" s="37" t="s">
        <v>33</v>
      </c>
      <c r="N545" s="4" t="str">
        <f>IF(I545=_xlfn.XLOOKUP(F545,Lists!$D$2:$D$13,Lists!$E$2:$E$13,"Not Found"),"OK","Check Price")</f>
        <v>Check Price</v>
      </c>
    </row>
    <row r="546" spans="1:14" ht="15.5" hidden="1" thickTop="1" thickBot="1" x14ac:dyDescent="0.4">
      <c r="A546" s="36" t="str">
        <f t="shared" si="16"/>
        <v>ORD0545</v>
      </c>
      <c r="B546" s="34">
        <v>45594</v>
      </c>
      <c r="C546" s="38" t="s">
        <v>72</v>
      </c>
      <c r="D546" s="38" t="s">
        <v>34</v>
      </c>
      <c r="E546" s="38" t="s">
        <v>119</v>
      </c>
      <c r="F546" s="38" t="s">
        <v>58</v>
      </c>
      <c r="G546" s="38" t="s">
        <v>30</v>
      </c>
      <c r="H546" s="38">
        <v>8</v>
      </c>
      <c r="I546" s="38">
        <v>350</v>
      </c>
      <c r="J546" s="38">
        <v>0.1</v>
      </c>
      <c r="K546" s="38">
        <f t="shared" si="17"/>
        <v>2520</v>
      </c>
      <c r="L546" s="38" t="s">
        <v>56</v>
      </c>
      <c r="M546" s="38" t="s">
        <v>38</v>
      </c>
      <c r="N546" s="4" t="str">
        <f>IF(I546=_xlfn.XLOOKUP(F546,Lists!$D$2:$D$13,Lists!$E$2:$E$13,"Not Found"),"OK","Check Price")</f>
        <v>Check Price</v>
      </c>
    </row>
    <row r="547" spans="1:14" ht="15.5" hidden="1" thickTop="1" thickBot="1" x14ac:dyDescent="0.4">
      <c r="A547" s="36" t="str">
        <f t="shared" si="16"/>
        <v>ORD0546</v>
      </c>
      <c r="B547" s="34">
        <v>45648</v>
      </c>
      <c r="C547" s="37" t="s">
        <v>74</v>
      </c>
      <c r="D547" s="37" t="s">
        <v>51</v>
      </c>
      <c r="E547" s="37" t="s">
        <v>18</v>
      </c>
      <c r="F547" s="37" t="s">
        <v>40</v>
      </c>
      <c r="G547" s="37" t="s">
        <v>19</v>
      </c>
      <c r="H547" s="37">
        <v>6</v>
      </c>
      <c r="I547" s="37">
        <v>2000</v>
      </c>
      <c r="J547" s="37">
        <v>0.25</v>
      </c>
      <c r="K547" s="37">
        <f t="shared" si="17"/>
        <v>9000</v>
      </c>
      <c r="L547" s="37" t="s">
        <v>41</v>
      </c>
      <c r="M547" s="37" t="s">
        <v>38</v>
      </c>
      <c r="N547" s="4" t="str">
        <f>IF(I547=_xlfn.XLOOKUP(F547,Lists!$D$2:$D$13,Lists!$E$2:$E$13,"Not Found"),"OK","Check Price")</f>
        <v>Check Price</v>
      </c>
    </row>
    <row r="548" spans="1:14" ht="15.5" thickTop="1" thickBot="1" x14ac:dyDescent="0.4">
      <c r="A548" s="36" t="str">
        <f t="shared" si="16"/>
        <v>ORD0547</v>
      </c>
      <c r="B548" s="34">
        <v>45392</v>
      </c>
      <c r="C548" s="38" t="s">
        <v>68</v>
      </c>
      <c r="D548" s="38" t="s">
        <v>39</v>
      </c>
      <c r="E548" s="38" t="s">
        <v>119</v>
      </c>
      <c r="F548" s="38" t="s">
        <v>20</v>
      </c>
      <c r="G548" s="35" t="str">
        <f>_xlfn.XLOOKUP(F548,Lists!$J$2:$J$13,Lists!$K$2:$K$13,"Not Found")</f>
        <v>Electronics</v>
      </c>
      <c r="H548" s="38">
        <v>1</v>
      </c>
      <c r="I548" s="35">
        <f>_xlfn.XLOOKUP(F548,Lists!$D$2:$D$13,Lists!$E$2:$E$13,"Not Found")</f>
        <v>85000</v>
      </c>
      <c r="J548" s="48">
        <v>0.05</v>
      </c>
      <c r="K548" s="35">
        <f>H548*I548*(1-J548)</f>
        <v>80750</v>
      </c>
      <c r="L548" s="38" t="s">
        <v>53</v>
      </c>
      <c r="M548" s="38" t="s">
        <v>27</v>
      </c>
      <c r="N548" s="4" t="str">
        <f>IF(I548=_xlfn.XLOOKUP(F548,Lists!$D$2:$D$13,Lists!$E$2:$E$13,"Not Found"),"OK","Check Price")</f>
        <v>OK</v>
      </c>
    </row>
    <row r="549" spans="1:14" ht="15.5" hidden="1" thickTop="1" thickBot="1" x14ac:dyDescent="0.4">
      <c r="A549" s="36" t="str">
        <f t="shared" si="16"/>
        <v>ORD0548</v>
      </c>
      <c r="B549" s="34">
        <v>45660</v>
      </c>
      <c r="C549" s="37" t="s">
        <v>75</v>
      </c>
      <c r="D549" s="37" t="s">
        <v>51</v>
      </c>
      <c r="E549" s="37" t="s">
        <v>29</v>
      </c>
      <c r="F549" s="37" t="s">
        <v>52</v>
      </c>
      <c r="G549" s="37" t="s">
        <v>24</v>
      </c>
      <c r="H549" s="37">
        <v>9</v>
      </c>
      <c r="I549" s="37">
        <v>350</v>
      </c>
      <c r="J549" s="37">
        <v>0.05</v>
      </c>
      <c r="K549" s="37">
        <f t="shared" si="17"/>
        <v>2992.5</v>
      </c>
      <c r="L549" s="37" t="s">
        <v>32</v>
      </c>
      <c r="M549" s="37" t="s">
        <v>22</v>
      </c>
      <c r="N549" s="4" t="str">
        <f>IF(I549=_xlfn.XLOOKUP(F549,Lists!$D$2:$D$13,Lists!$E$2:$E$13,"Not Found"),"OK","Check Price")</f>
        <v>Check Price</v>
      </c>
    </row>
    <row r="550" spans="1:14" ht="15.5" thickTop="1" thickBot="1" x14ac:dyDescent="0.4">
      <c r="A550" s="36" t="str">
        <f t="shared" si="16"/>
        <v>ORD0549</v>
      </c>
      <c r="B550" s="34">
        <v>45490</v>
      </c>
      <c r="C550" s="38" t="s">
        <v>60</v>
      </c>
      <c r="D550" s="38" t="s">
        <v>28</v>
      </c>
      <c r="E550" s="38" t="s">
        <v>35</v>
      </c>
      <c r="F550" s="38" t="s">
        <v>46</v>
      </c>
      <c r="G550" s="35" t="str">
        <f>_xlfn.XLOOKUP(F550,Lists!$J$2:$J$13,Lists!$K$2:$K$13,"Not Found")</f>
        <v>Furniture</v>
      </c>
      <c r="H550" s="38">
        <v>6</v>
      </c>
      <c r="I550" s="35">
        <f>_xlfn.XLOOKUP(F550,Lists!$D$2:$D$13,Lists!$E$2:$E$13,"Not Found")</f>
        <v>22000</v>
      </c>
      <c r="J550" s="48">
        <v>0.1</v>
      </c>
      <c r="K550" s="35">
        <f>H550*I550*(1-J550)</f>
        <v>118800</v>
      </c>
      <c r="L550" s="38" t="s">
        <v>21</v>
      </c>
      <c r="M550" s="38" t="s">
        <v>38</v>
      </c>
      <c r="N550" s="4" t="str">
        <f>IF(I550=_xlfn.XLOOKUP(F550,Lists!$D$2:$D$13,Lists!$E$2:$E$13,"Not Found"),"OK","Check Price")</f>
        <v>OK</v>
      </c>
    </row>
    <row r="551" spans="1:14" ht="15.5" hidden="1" thickTop="1" thickBot="1" x14ac:dyDescent="0.4">
      <c r="A551" s="36" t="str">
        <f t="shared" si="16"/>
        <v>ORD0550</v>
      </c>
      <c r="B551" s="34">
        <v>45711</v>
      </c>
      <c r="C551" s="37" t="s">
        <v>71</v>
      </c>
      <c r="D551" s="37" t="s">
        <v>23</v>
      </c>
      <c r="E551" s="37" t="s">
        <v>79</v>
      </c>
      <c r="F551" s="37" t="s">
        <v>49</v>
      </c>
      <c r="G551" s="37" t="s">
        <v>24</v>
      </c>
      <c r="H551" s="37">
        <v>5</v>
      </c>
      <c r="I551" s="37">
        <v>28000</v>
      </c>
      <c r="J551" s="37">
        <v>0.1</v>
      </c>
      <c r="K551" s="37">
        <f t="shared" si="17"/>
        <v>126000</v>
      </c>
      <c r="L551" s="37" t="s">
        <v>32</v>
      </c>
      <c r="M551" s="37" t="s">
        <v>27</v>
      </c>
      <c r="N551" s="4" t="str">
        <f>IF(I551=_xlfn.XLOOKUP(F551,Lists!$D$2:$D$13,Lists!$E$2:$E$13,"Not Found"),"OK","Check Price")</f>
        <v>Check Price</v>
      </c>
    </row>
    <row r="552" spans="1:14" ht="15.5" thickTop="1" thickBot="1" x14ac:dyDescent="0.4">
      <c r="A552" s="36" t="str">
        <f t="shared" si="16"/>
        <v>ORD0551</v>
      </c>
      <c r="B552" s="34">
        <v>45978</v>
      </c>
      <c r="C552" s="38" t="s">
        <v>67</v>
      </c>
      <c r="D552" s="38" t="s">
        <v>54</v>
      </c>
      <c r="E552" s="38" t="s">
        <v>119</v>
      </c>
      <c r="F552" s="38" t="s">
        <v>46</v>
      </c>
      <c r="G552" s="35" t="str">
        <f>_xlfn.XLOOKUP(F552,Lists!$J$2:$J$13,Lists!$K$2:$K$13,"Not Found")</f>
        <v>Furniture</v>
      </c>
      <c r="H552" s="38">
        <v>1</v>
      </c>
      <c r="I552" s="35">
        <f>_xlfn.XLOOKUP(F552,Lists!$D$2:$D$13,Lists!$E$2:$E$13,"Not Found")</f>
        <v>22000</v>
      </c>
      <c r="J552" s="48">
        <v>0.1</v>
      </c>
      <c r="K552" s="35">
        <f t="shared" si="17"/>
        <v>19800</v>
      </c>
      <c r="L552" s="38" t="s">
        <v>32</v>
      </c>
      <c r="M552" s="38" t="s">
        <v>33</v>
      </c>
      <c r="N552" s="4" t="str">
        <f>IF(I552=_xlfn.XLOOKUP(F552,Lists!$D$2:$D$13,Lists!$E$2:$E$13,"Not Found"),"OK","Check Price")</f>
        <v>OK</v>
      </c>
    </row>
    <row r="553" spans="1:14" ht="15.5" thickTop="1" thickBot="1" x14ac:dyDescent="0.4">
      <c r="A553" s="36" t="str">
        <f t="shared" si="16"/>
        <v>ORD0552</v>
      </c>
      <c r="B553" s="34">
        <v>45917</v>
      </c>
      <c r="C553" s="37" t="s">
        <v>78</v>
      </c>
      <c r="D553" s="37" t="s">
        <v>45</v>
      </c>
      <c r="E553" s="37" t="s">
        <v>35</v>
      </c>
      <c r="F553" s="37" t="s">
        <v>46</v>
      </c>
      <c r="G553" s="35" t="str">
        <f>_xlfn.XLOOKUP(F553,Lists!$J$2:$J$13,Lists!$K$2:$K$13,"Not Found")</f>
        <v>Furniture</v>
      </c>
      <c r="H553" s="37">
        <v>8</v>
      </c>
      <c r="I553" s="35">
        <f>_xlfn.XLOOKUP(F553,Lists!$D$2:$D$13,Lists!$E$2:$E$13,"Not Found")</f>
        <v>22000</v>
      </c>
      <c r="J553" s="47">
        <v>0.05</v>
      </c>
      <c r="K553" s="35">
        <f t="shared" si="17"/>
        <v>167200</v>
      </c>
      <c r="L553" s="37" t="s">
        <v>53</v>
      </c>
      <c r="M553" s="37" t="s">
        <v>22</v>
      </c>
      <c r="N553" s="4" t="str">
        <f>IF(I553=_xlfn.XLOOKUP(F553,Lists!$D$2:$D$13,Lists!$E$2:$E$13,"Not Found"),"OK","Check Price")</f>
        <v>OK</v>
      </c>
    </row>
    <row r="554" spans="1:14" ht="15.5" hidden="1" thickTop="1" thickBot="1" x14ac:dyDescent="0.4">
      <c r="A554" s="36" t="str">
        <f t="shared" si="16"/>
        <v>ORD0553</v>
      </c>
      <c r="B554" s="34">
        <v>45353</v>
      </c>
      <c r="C554" s="38" t="s">
        <v>74</v>
      </c>
      <c r="D554" s="38" t="s">
        <v>48</v>
      </c>
      <c r="E554" s="38" t="s">
        <v>18</v>
      </c>
      <c r="F554" s="38" t="s">
        <v>36</v>
      </c>
      <c r="G554" s="38" t="s">
        <v>30</v>
      </c>
      <c r="H554" s="38">
        <v>8</v>
      </c>
      <c r="I554" s="38">
        <v>30000</v>
      </c>
      <c r="J554" s="38">
        <v>0.15</v>
      </c>
      <c r="K554" s="38">
        <f t="shared" si="17"/>
        <v>204000</v>
      </c>
      <c r="L554" s="38" t="s">
        <v>47</v>
      </c>
      <c r="M554" s="38" t="s">
        <v>27</v>
      </c>
      <c r="N554" s="4" t="str">
        <f>IF(I554=_xlfn.XLOOKUP(F554,Lists!$D$2:$D$13,Lists!$E$2:$E$13,"Not Found"),"OK","Check Price")</f>
        <v>Check Price</v>
      </c>
    </row>
    <row r="555" spans="1:14" ht="15.5" hidden="1" thickTop="1" thickBot="1" x14ac:dyDescent="0.4">
      <c r="A555" s="36" t="str">
        <f t="shared" si="16"/>
        <v>ORD0554</v>
      </c>
      <c r="B555" s="34">
        <v>45641</v>
      </c>
      <c r="C555" s="37" t="s">
        <v>76</v>
      </c>
      <c r="D555" s="37" t="s">
        <v>23</v>
      </c>
      <c r="E555" s="37" t="s">
        <v>79</v>
      </c>
      <c r="F555" s="37" t="s">
        <v>43</v>
      </c>
      <c r="G555" s="37" t="s">
        <v>30</v>
      </c>
      <c r="H555" s="37">
        <v>7</v>
      </c>
      <c r="I555" s="37">
        <v>350</v>
      </c>
      <c r="J555" s="37">
        <v>0.05</v>
      </c>
      <c r="K555" s="37">
        <f t="shared" si="17"/>
        <v>2327.5</v>
      </c>
      <c r="L555" s="37" t="s">
        <v>41</v>
      </c>
      <c r="M555" s="37" t="s">
        <v>38</v>
      </c>
      <c r="N555" s="4" t="str">
        <f>IF(I555=_xlfn.XLOOKUP(F555,Lists!$D$2:$D$13,Lists!$E$2:$E$13,"Not Found"),"OK","Check Price")</f>
        <v>Check Price</v>
      </c>
    </row>
    <row r="556" spans="1:14" ht="15.5" hidden="1" thickTop="1" thickBot="1" x14ac:dyDescent="0.4">
      <c r="A556" s="36" t="str">
        <f t="shared" si="16"/>
        <v>ORD0555</v>
      </c>
      <c r="B556" s="34">
        <v>45498</v>
      </c>
      <c r="C556" s="38" t="s">
        <v>59</v>
      </c>
      <c r="D556" s="38" t="s">
        <v>34</v>
      </c>
      <c r="E556" s="38" t="s">
        <v>18</v>
      </c>
      <c r="F556" s="38" t="s">
        <v>25</v>
      </c>
      <c r="G556" s="38" t="s">
        <v>24</v>
      </c>
      <c r="H556" s="38">
        <v>4</v>
      </c>
      <c r="I556" s="38">
        <v>5000</v>
      </c>
      <c r="J556" s="38">
        <v>0.05</v>
      </c>
      <c r="K556" s="38">
        <f t="shared" si="17"/>
        <v>19000</v>
      </c>
      <c r="L556" s="38" t="s">
        <v>56</v>
      </c>
      <c r="M556" s="38" t="s">
        <v>22</v>
      </c>
      <c r="N556" s="4" t="str">
        <f>IF(I556=_xlfn.XLOOKUP(F556,Lists!$D$2:$D$13,Lists!$E$2:$E$13,"Not Found"),"OK","Check Price")</f>
        <v>Check Price</v>
      </c>
    </row>
    <row r="557" spans="1:14" ht="15.5" hidden="1" thickTop="1" thickBot="1" x14ac:dyDescent="0.4">
      <c r="A557" s="36" t="str">
        <f t="shared" si="16"/>
        <v>ORD0556</v>
      </c>
      <c r="B557" s="34">
        <v>45437</v>
      </c>
      <c r="C557" s="37" t="s">
        <v>61</v>
      </c>
      <c r="D557" s="37" t="s">
        <v>39</v>
      </c>
      <c r="E557" s="37" t="s">
        <v>79</v>
      </c>
      <c r="F557" s="37" t="s">
        <v>36</v>
      </c>
      <c r="G557" s="37" t="s">
        <v>19</v>
      </c>
      <c r="H557" s="37">
        <v>7</v>
      </c>
      <c r="I557" s="37">
        <v>5000</v>
      </c>
      <c r="J557" s="37">
        <v>0.2</v>
      </c>
      <c r="K557" s="37">
        <f t="shared" si="17"/>
        <v>28000</v>
      </c>
      <c r="L557" s="37" t="s">
        <v>32</v>
      </c>
      <c r="M557" s="37" t="s">
        <v>22</v>
      </c>
      <c r="N557" s="4" t="str">
        <f>IF(I557=_xlfn.XLOOKUP(F557,Lists!$D$2:$D$13,Lists!$E$2:$E$13,"Not Found"),"OK","Check Price")</f>
        <v>Check Price</v>
      </c>
    </row>
    <row r="558" spans="1:14" ht="15.5" hidden="1" thickTop="1" thickBot="1" x14ac:dyDescent="0.4">
      <c r="A558" s="36" t="str">
        <f t="shared" si="16"/>
        <v>ORD0557</v>
      </c>
      <c r="B558" s="34">
        <v>45754</v>
      </c>
      <c r="C558" s="38" t="s">
        <v>65</v>
      </c>
      <c r="D558" s="38" t="s">
        <v>17</v>
      </c>
      <c r="E558" s="38" t="s">
        <v>18</v>
      </c>
      <c r="F558" s="38" t="s">
        <v>52</v>
      </c>
      <c r="G558" s="38" t="s">
        <v>30</v>
      </c>
      <c r="H558" s="38">
        <v>9</v>
      </c>
      <c r="I558" s="38">
        <v>30000</v>
      </c>
      <c r="J558" s="38">
        <v>0.15</v>
      </c>
      <c r="K558" s="38">
        <f t="shared" si="17"/>
        <v>229500</v>
      </c>
      <c r="L558" s="38" t="s">
        <v>56</v>
      </c>
      <c r="M558" s="38" t="s">
        <v>38</v>
      </c>
      <c r="N558" s="4" t="str">
        <f>IF(I558=_xlfn.XLOOKUP(F558,Lists!$D$2:$D$13,Lists!$E$2:$E$13,"Not Found"),"OK","Check Price")</f>
        <v>Check Price</v>
      </c>
    </row>
    <row r="559" spans="1:14" ht="15.5" hidden="1" thickTop="1" thickBot="1" x14ac:dyDescent="0.4">
      <c r="A559" s="36" t="str">
        <f t="shared" si="16"/>
        <v>ORD0558</v>
      </c>
      <c r="B559" s="34">
        <v>45496</v>
      </c>
      <c r="C559" s="37" t="s">
        <v>75</v>
      </c>
      <c r="D559" s="37" t="s">
        <v>23</v>
      </c>
      <c r="E559" s="37" t="s">
        <v>79</v>
      </c>
      <c r="F559" s="37" t="s">
        <v>57</v>
      </c>
      <c r="G559" s="37" t="s">
        <v>19</v>
      </c>
      <c r="H559" s="37">
        <v>5</v>
      </c>
      <c r="I559" s="37">
        <v>4000</v>
      </c>
      <c r="J559" s="37">
        <v>0.1</v>
      </c>
      <c r="K559" s="37">
        <f t="shared" si="17"/>
        <v>18000</v>
      </c>
      <c r="L559" s="37" t="s">
        <v>56</v>
      </c>
      <c r="M559" s="37" t="s">
        <v>33</v>
      </c>
      <c r="N559" s="4" t="str">
        <f>IF(I559=_xlfn.XLOOKUP(F559,Lists!$D$2:$D$13,Lists!$E$2:$E$13,"Not Found"),"OK","Check Price")</f>
        <v>Check Price</v>
      </c>
    </row>
    <row r="560" spans="1:14" ht="15.5" thickTop="1" thickBot="1" x14ac:dyDescent="0.4">
      <c r="A560" s="36" t="str">
        <f t="shared" si="16"/>
        <v>ORD0559</v>
      </c>
      <c r="B560" s="34">
        <v>45604</v>
      </c>
      <c r="C560" s="38" t="s">
        <v>66</v>
      </c>
      <c r="D560" s="38" t="s">
        <v>45</v>
      </c>
      <c r="E560" s="38" t="s">
        <v>29</v>
      </c>
      <c r="F560" s="38" t="s">
        <v>20</v>
      </c>
      <c r="G560" s="35" t="str">
        <f>_xlfn.XLOOKUP(F560,Lists!$J$2:$J$13,Lists!$K$2:$K$13,"Not Found")</f>
        <v>Electronics</v>
      </c>
      <c r="H560" s="38">
        <v>5</v>
      </c>
      <c r="I560" s="35">
        <f>_xlfn.XLOOKUP(F560,Lists!$D$2:$D$13,Lists!$E$2:$E$13,"Not Found")</f>
        <v>85000</v>
      </c>
      <c r="J560" s="48">
        <v>0.05</v>
      </c>
      <c r="K560" s="35">
        <f t="shared" si="17"/>
        <v>403750</v>
      </c>
      <c r="L560" s="38" t="s">
        <v>26</v>
      </c>
      <c r="M560" s="38" t="s">
        <v>27</v>
      </c>
      <c r="N560" s="4" t="str">
        <f>IF(I560=_xlfn.XLOOKUP(F560,Lists!$D$2:$D$13,Lists!$E$2:$E$13,"Not Found"),"OK","Check Price")</f>
        <v>OK</v>
      </c>
    </row>
    <row r="561" spans="1:14" ht="15.5" thickTop="1" thickBot="1" x14ac:dyDescent="0.4">
      <c r="A561" s="36" t="str">
        <f t="shared" si="16"/>
        <v>ORD0560</v>
      </c>
      <c r="B561" s="34">
        <v>45485</v>
      </c>
      <c r="C561" s="37" t="s">
        <v>72</v>
      </c>
      <c r="D561" s="37" t="s">
        <v>28</v>
      </c>
      <c r="E561" s="37" t="s">
        <v>29</v>
      </c>
      <c r="F561" s="37" t="s">
        <v>55</v>
      </c>
      <c r="G561" s="35" t="str">
        <f>_xlfn.XLOOKUP(F561,Lists!$J$2:$J$13,Lists!$K$2:$K$13,"Not Found")</f>
        <v>Office Supplies</v>
      </c>
      <c r="H561" s="37">
        <v>5</v>
      </c>
      <c r="I561" s="35">
        <f>_xlfn.XLOOKUP(F561,Lists!$D$2:$D$13,Lists!$E$2:$E$13,"Not Found")</f>
        <v>1500</v>
      </c>
      <c r="J561" s="47">
        <v>0.25</v>
      </c>
      <c r="K561" s="35">
        <f t="shared" si="17"/>
        <v>5625</v>
      </c>
      <c r="L561" s="37" t="s">
        <v>32</v>
      </c>
      <c r="M561" s="37" t="s">
        <v>27</v>
      </c>
      <c r="N561" s="4" t="str">
        <f>IF(I561=_xlfn.XLOOKUP(F561,Lists!$D$2:$D$13,Lists!$E$2:$E$13,"Not Found"),"OK","Check Price")</f>
        <v>OK</v>
      </c>
    </row>
    <row r="562" spans="1:14" ht="15.5" thickTop="1" thickBot="1" x14ac:dyDescent="0.4">
      <c r="A562" s="36" t="str">
        <f t="shared" si="16"/>
        <v>ORD0561</v>
      </c>
      <c r="B562" s="34">
        <v>45517</v>
      </c>
      <c r="C562" s="38" t="s">
        <v>69</v>
      </c>
      <c r="D562" s="38" t="s">
        <v>39</v>
      </c>
      <c r="E562" s="38" t="s">
        <v>18</v>
      </c>
      <c r="F562" s="38" t="s">
        <v>46</v>
      </c>
      <c r="G562" s="35" t="str">
        <f>_xlfn.XLOOKUP(F562,Lists!$J$2:$J$13,Lists!$K$2:$K$13,"Not Found")</f>
        <v>Furniture</v>
      </c>
      <c r="H562" s="38">
        <v>1</v>
      </c>
      <c r="I562" s="35">
        <f>_xlfn.XLOOKUP(F562,Lists!$D$2:$D$13,Lists!$E$2:$E$13,"Not Found")</f>
        <v>22000</v>
      </c>
      <c r="J562" s="48">
        <v>0.2</v>
      </c>
      <c r="K562" s="35">
        <f t="shared" si="17"/>
        <v>17600</v>
      </c>
      <c r="L562" s="38" t="s">
        <v>21</v>
      </c>
      <c r="M562" s="38" t="s">
        <v>38</v>
      </c>
      <c r="N562" s="4" t="str">
        <f>IF(I562=_xlfn.XLOOKUP(F562,Lists!$D$2:$D$13,Lists!$E$2:$E$13,"Not Found"),"OK","Check Price")</f>
        <v>OK</v>
      </c>
    </row>
    <row r="563" spans="1:14" ht="15.5" thickTop="1" thickBot="1" x14ac:dyDescent="0.4">
      <c r="A563" s="36" t="str">
        <f t="shared" si="16"/>
        <v>ORD0562</v>
      </c>
      <c r="B563" s="34">
        <v>45792</v>
      </c>
      <c r="C563" s="37" t="s">
        <v>72</v>
      </c>
      <c r="D563" s="37" t="s">
        <v>45</v>
      </c>
      <c r="E563" s="37" t="s">
        <v>80</v>
      </c>
      <c r="F563" s="37" t="s">
        <v>46</v>
      </c>
      <c r="G563" s="35" t="str">
        <f>_xlfn.XLOOKUP(F563,Lists!$J$2:$J$13,Lists!$K$2:$K$13,"Not Found")</f>
        <v>Furniture</v>
      </c>
      <c r="H563" s="37">
        <v>5</v>
      </c>
      <c r="I563" s="35">
        <f>_xlfn.XLOOKUP(F563,Lists!$D$2:$D$13,Lists!$E$2:$E$13,"Not Found")</f>
        <v>22000</v>
      </c>
      <c r="J563" s="47">
        <v>0.15</v>
      </c>
      <c r="K563" s="35">
        <f t="shared" si="17"/>
        <v>93500</v>
      </c>
      <c r="L563" s="37" t="s">
        <v>47</v>
      </c>
      <c r="M563" s="37" t="s">
        <v>33</v>
      </c>
      <c r="N563" s="4" t="str">
        <f>IF(I563=_xlfn.XLOOKUP(F563,Lists!$D$2:$D$13,Lists!$E$2:$E$13,"Not Found"),"OK","Check Price")</f>
        <v>OK</v>
      </c>
    </row>
    <row r="564" spans="1:14" ht="15.5" thickTop="1" thickBot="1" x14ac:dyDescent="0.4">
      <c r="A564" s="36" t="str">
        <f t="shared" si="16"/>
        <v>ORD0563</v>
      </c>
      <c r="B564" s="34">
        <v>45764</v>
      </c>
      <c r="C564" s="38" t="s">
        <v>73</v>
      </c>
      <c r="D564" s="38" t="s">
        <v>34</v>
      </c>
      <c r="E564" s="38" t="s">
        <v>80</v>
      </c>
      <c r="F564" s="38" t="s">
        <v>55</v>
      </c>
      <c r="G564" s="35" t="str">
        <f>_xlfn.XLOOKUP(F564,Lists!$J$2:$J$13,Lists!$K$2:$K$13,"Not Found")</f>
        <v>Office Supplies</v>
      </c>
      <c r="H564" s="38">
        <v>5</v>
      </c>
      <c r="I564" s="35">
        <f>_xlfn.XLOOKUP(F564,Lists!$D$2:$D$13,Lists!$E$2:$E$13,"Not Found")</f>
        <v>1500</v>
      </c>
      <c r="J564" s="48">
        <v>0.1</v>
      </c>
      <c r="K564" s="35">
        <f t="shared" si="17"/>
        <v>6750</v>
      </c>
      <c r="L564" s="38" t="s">
        <v>50</v>
      </c>
      <c r="M564" s="38" t="s">
        <v>33</v>
      </c>
      <c r="N564" s="4" t="str">
        <f>IF(I564=_xlfn.XLOOKUP(F564,Lists!$D$2:$D$13,Lists!$E$2:$E$13,"Not Found"),"OK","Check Price")</f>
        <v>OK</v>
      </c>
    </row>
    <row r="565" spans="1:14" ht="15.5" thickTop="1" thickBot="1" x14ac:dyDescent="0.4">
      <c r="A565" s="36" t="str">
        <f t="shared" si="16"/>
        <v>ORD0564</v>
      </c>
      <c r="B565" s="34">
        <v>45597</v>
      </c>
      <c r="C565" s="37" t="s">
        <v>76</v>
      </c>
      <c r="D565" s="37" t="s">
        <v>42</v>
      </c>
      <c r="E565" s="37" t="s">
        <v>80</v>
      </c>
      <c r="F565" s="37" t="s">
        <v>20</v>
      </c>
      <c r="G565" s="35" t="str">
        <f>_xlfn.XLOOKUP(F565,Lists!$J$2:$J$13,Lists!$K$2:$K$13,"Not Found")</f>
        <v>Electronics</v>
      </c>
      <c r="H565" s="37">
        <v>8</v>
      </c>
      <c r="I565" s="35">
        <f>_xlfn.XLOOKUP(F565,Lists!$D$2:$D$13,Lists!$E$2:$E$13,"Not Found")</f>
        <v>85000</v>
      </c>
      <c r="J565" s="47">
        <v>0.2</v>
      </c>
      <c r="K565" s="35">
        <f t="shared" si="17"/>
        <v>544000</v>
      </c>
      <c r="L565" s="37" t="s">
        <v>26</v>
      </c>
      <c r="M565" s="37" t="s">
        <v>33</v>
      </c>
      <c r="N565" s="4" t="str">
        <f>IF(I565=_xlfn.XLOOKUP(F565,Lists!$D$2:$D$13,Lists!$E$2:$E$13,"Not Found"),"OK","Check Price")</f>
        <v>OK</v>
      </c>
    </row>
    <row r="566" spans="1:14" ht="15.5" hidden="1" thickTop="1" thickBot="1" x14ac:dyDescent="0.4">
      <c r="A566" s="36" t="str">
        <f t="shared" si="16"/>
        <v>ORD0565</v>
      </c>
      <c r="B566" s="34">
        <v>45573</v>
      </c>
      <c r="C566" s="38" t="s">
        <v>62</v>
      </c>
      <c r="D566" s="38" t="s">
        <v>54</v>
      </c>
      <c r="E566" s="38" t="s">
        <v>35</v>
      </c>
      <c r="F566" s="38" t="s">
        <v>49</v>
      </c>
      <c r="G566" s="38" t="s">
        <v>30</v>
      </c>
      <c r="H566" s="38">
        <v>10</v>
      </c>
      <c r="I566" s="38">
        <v>5000</v>
      </c>
      <c r="J566" s="38">
        <v>0.05</v>
      </c>
      <c r="K566" s="38">
        <f t="shared" si="17"/>
        <v>47500</v>
      </c>
      <c r="L566" s="38" t="s">
        <v>41</v>
      </c>
      <c r="M566" s="38" t="s">
        <v>38</v>
      </c>
      <c r="N566" s="4" t="str">
        <f>IF(I566=_xlfn.XLOOKUP(F566,Lists!$D$2:$D$13,Lists!$E$2:$E$13,"Not Found"),"OK","Check Price")</f>
        <v>Check Price</v>
      </c>
    </row>
    <row r="567" spans="1:14" ht="15.5" thickTop="1" thickBot="1" x14ac:dyDescent="0.4">
      <c r="A567" s="36" t="str">
        <f t="shared" si="16"/>
        <v>ORD0566</v>
      </c>
      <c r="B567" s="34">
        <v>45861</v>
      </c>
      <c r="C567" s="37" t="s">
        <v>75</v>
      </c>
      <c r="D567" s="37" t="s">
        <v>39</v>
      </c>
      <c r="E567" s="37" t="s">
        <v>80</v>
      </c>
      <c r="F567" s="37" t="s">
        <v>55</v>
      </c>
      <c r="G567" s="35" t="str">
        <f>_xlfn.XLOOKUP(F567,Lists!$J$2:$J$13,Lists!$K$2:$K$13,"Not Found")</f>
        <v>Office Supplies</v>
      </c>
      <c r="H567" s="37">
        <v>4</v>
      </c>
      <c r="I567" s="35">
        <f>_xlfn.XLOOKUP(F567,Lists!$D$2:$D$13,Lists!$E$2:$E$13,"Not Found")</f>
        <v>1500</v>
      </c>
      <c r="J567" s="47">
        <v>0.2</v>
      </c>
      <c r="K567" s="35">
        <f>H567*I567*(1-J567)</f>
        <v>4800</v>
      </c>
      <c r="L567" s="37" t="s">
        <v>41</v>
      </c>
      <c r="M567" s="37" t="s">
        <v>33</v>
      </c>
      <c r="N567" s="4" t="str">
        <f>IF(I567=_xlfn.XLOOKUP(F567,Lists!$D$2:$D$13,Lists!$E$2:$E$13,"Not Found"),"OK","Check Price")</f>
        <v>OK</v>
      </c>
    </row>
    <row r="568" spans="1:14" ht="15.5" hidden="1" thickTop="1" thickBot="1" x14ac:dyDescent="0.4">
      <c r="A568" s="36" t="str">
        <f t="shared" si="16"/>
        <v>ORD0567</v>
      </c>
      <c r="B568" s="34">
        <v>45567</v>
      </c>
      <c r="C568" s="38" t="s">
        <v>63</v>
      </c>
      <c r="D568" s="38" t="s">
        <v>48</v>
      </c>
      <c r="E568" s="38" t="s">
        <v>79</v>
      </c>
      <c r="F568" s="38" t="s">
        <v>57</v>
      </c>
      <c r="G568" s="38" t="s">
        <v>30</v>
      </c>
      <c r="H568" s="38">
        <v>1</v>
      </c>
      <c r="I568" s="38">
        <v>5000</v>
      </c>
      <c r="J568" s="38">
        <v>0.25</v>
      </c>
      <c r="K568" s="38">
        <f t="shared" si="17"/>
        <v>3750</v>
      </c>
      <c r="L568" s="38" t="s">
        <v>53</v>
      </c>
      <c r="M568" s="38" t="s">
        <v>27</v>
      </c>
      <c r="N568" s="4" t="str">
        <f>IF(I568=_xlfn.XLOOKUP(F568,Lists!$D$2:$D$13,Lists!$E$2:$E$13,"Not Found"),"OK","Check Price")</f>
        <v>Check Price</v>
      </c>
    </row>
    <row r="569" spans="1:14" ht="15.5" hidden="1" thickTop="1" thickBot="1" x14ac:dyDescent="0.4">
      <c r="A569" s="36" t="str">
        <f t="shared" si="16"/>
        <v>ORD0568</v>
      </c>
      <c r="B569" s="34">
        <v>45877</v>
      </c>
      <c r="C569" s="37" t="s">
        <v>64</v>
      </c>
      <c r="D569" s="37" t="s">
        <v>39</v>
      </c>
      <c r="E569" s="37" t="s">
        <v>79</v>
      </c>
      <c r="F569" s="37" t="s">
        <v>36</v>
      </c>
      <c r="G569" s="37" t="s">
        <v>30</v>
      </c>
      <c r="H569" s="37">
        <v>1</v>
      </c>
      <c r="I569" s="37">
        <v>12000</v>
      </c>
      <c r="J569" s="37">
        <v>0.1</v>
      </c>
      <c r="K569" s="37">
        <f t="shared" si="17"/>
        <v>10800</v>
      </c>
      <c r="L569" s="37" t="s">
        <v>21</v>
      </c>
      <c r="M569" s="37" t="s">
        <v>33</v>
      </c>
      <c r="N569" s="4" t="str">
        <f>IF(I569=_xlfn.XLOOKUP(F569,Lists!$D$2:$D$13,Lists!$E$2:$E$13,"Not Found"),"OK","Check Price")</f>
        <v>Check Price</v>
      </c>
    </row>
    <row r="570" spans="1:14" ht="15.5" hidden="1" thickTop="1" thickBot="1" x14ac:dyDescent="0.4">
      <c r="A570" s="36" t="str">
        <f t="shared" si="16"/>
        <v>ORD0569</v>
      </c>
      <c r="B570" s="34">
        <v>45685</v>
      </c>
      <c r="C570" s="38" t="s">
        <v>77</v>
      </c>
      <c r="D570" s="38" t="s">
        <v>34</v>
      </c>
      <c r="E570" s="38" t="s">
        <v>29</v>
      </c>
      <c r="F570" s="38" t="s">
        <v>25</v>
      </c>
      <c r="G570" s="38" t="s">
        <v>30</v>
      </c>
      <c r="H570" s="38">
        <v>5</v>
      </c>
      <c r="I570" s="38">
        <v>28000</v>
      </c>
      <c r="J570" s="38">
        <v>0.1</v>
      </c>
      <c r="K570" s="38">
        <f t="shared" si="17"/>
        <v>126000</v>
      </c>
      <c r="L570" s="38" t="s">
        <v>21</v>
      </c>
      <c r="M570" s="38" t="s">
        <v>22</v>
      </c>
      <c r="N570" s="4" t="str">
        <f>IF(I570=_xlfn.XLOOKUP(F570,Lists!$D$2:$D$13,Lists!$E$2:$E$13,"Not Found"),"OK","Check Price")</f>
        <v>Check Price</v>
      </c>
    </row>
    <row r="571" spans="1:14" ht="15.5" hidden="1" thickTop="1" thickBot="1" x14ac:dyDescent="0.4">
      <c r="A571" s="36" t="str">
        <f t="shared" si="16"/>
        <v>ORD0570</v>
      </c>
      <c r="B571" s="34">
        <v>45658</v>
      </c>
      <c r="C571" s="37" t="s">
        <v>73</v>
      </c>
      <c r="D571" s="37" t="s">
        <v>45</v>
      </c>
      <c r="E571" s="37" t="s">
        <v>35</v>
      </c>
      <c r="F571" s="37" t="s">
        <v>58</v>
      </c>
      <c r="G571" s="37" t="s">
        <v>24</v>
      </c>
      <c r="H571" s="37">
        <v>4</v>
      </c>
      <c r="I571" s="37">
        <v>28000</v>
      </c>
      <c r="J571" s="37">
        <v>0.1</v>
      </c>
      <c r="K571" s="37">
        <f t="shared" si="17"/>
        <v>100800</v>
      </c>
      <c r="L571" s="37" t="s">
        <v>32</v>
      </c>
      <c r="M571" s="37" t="s">
        <v>33</v>
      </c>
      <c r="N571" s="4" t="str">
        <f>IF(I571=_xlfn.XLOOKUP(F571,Lists!$D$2:$D$13,Lists!$E$2:$E$13,"Not Found"),"OK","Check Price")</f>
        <v>Check Price</v>
      </c>
    </row>
    <row r="572" spans="1:14" ht="15.5" hidden="1" thickTop="1" thickBot="1" x14ac:dyDescent="0.4">
      <c r="A572" s="36" t="str">
        <f t="shared" si="16"/>
        <v>ORD0571</v>
      </c>
      <c r="B572" s="34">
        <v>45378</v>
      </c>
      <c r="C572" s="38" t="s">
        <v>61</v>
      </c>
      <c r="D572" s="38" t="s">
        <v>17</v>
      </c>
      <c r="E572" s="38" t="s">
        <v>79</v>
      </c>
      <c r="F572" s="38" t="s">
        <v>58</v>
      </c>
      <c r="G572" s="38" t="s">
        <v>24</v>
      </c>
      <c r="H572" s="38">
        <v>8</v>
      </c>
      <c r="I572" s="38">
        <v>350</v>
      </c>
      <c r="J572" s="38">
        <v>0.05</v>
      </c>
      <c r="K572" s="38">
        <f t="shared" si="17"/>
        <v>2660</v>
      </c>
      <c r="L572" s="38" t="s">
        <v>56</v>
      </c>
      <c r="M572" s="38" t="s">
        <v>27</v>
      </c>
      <c r="N572" s="4" t="str">
        <f>IF(I572=_xlfn.XLOOKUP(F572,Lists!$D$2:$D$13,Lists!$E$2:$E$13,"Not Found"),"OK","Check Price")</f>
        <v>Check Price</v>
      </c>
    </row>
    <row r="573" spans="1:14" ht="15.5" hidden="1" thickTop="1" thickBot="1" x14ac:dyDescent="0.4">
      <c r="A573" s="36" t="str">
        <f t="shared" si="16"/>
        <v>ORD0572</v>
      </c>
      <c r="B573" s="34">
        <v>45354</v>
      </c>
      <c r="C573" s="37" t="s">
        <v>59</v>
      </c>
      <c r="D573" s="37" t="s">
        <v>23</v>
      </c>
      <c r="E573" s="37" t="s">
        <v>18</v>
      </c>
      <c r="F573" s="37" t="s">
        <v>36</v>
      </c>
      <c r="G573" s="37" t="s">
        <v>30</v>
      </c>
      <c r="H573" s="37">
        <v>1</v>
      </c>
      <c r="I573" s="37">
        <v>2000</v>
      </c>
      <c r="J573" s="37">
        <v>0.25</v>
      </c>
      <c r="K573" s="37">
        <f t="shared" si="17"/>
        <v>1500</v>
      </c>
      <c r="L573" s="37" t="s">
        <v>47</v>
      </c>
      <c r="M573" s="37" t="s">
        <v>22</v>
      </c>
      <c r="N573" s="4" t="str">
        <f>IF(I573=_xlfn.XLOOKUP(F573,Lists!$D$2:$D$13,Lists!$E$2:$E$13,"Not Found"),"OK","Check Price")</f>
        <v>Check Price</v>
      </c>
    </row>
    <row r="574" spans="1:14" ht="15.5" hidden="1" thickTop="1" thickBot="1" x14ac:dyDescent="0.4">
      <c r="A574" s="36" t="str">
        <f t="shared" si="16"/>
        <v>ORD0573</v>
      </c>
      <c r="B574" s="34">
        <v>45367</v>
      </c>
      <c r="C574" s="38" t="s">
        <v>61</v>
      </c>
      <c r="D574" s="38" t="s">
        <v>34</v>
      </c>
      <c r="E574" s="38" t="s">
        <v>29</v>
      </c>
      <c r="F574" s="38" t="s">
        <v>52</v>
      </c>
      <c r="G574" s="38" t="s">
        <v>30</v>
      </c>
      <c r="H574" s="38">
        <v>8</v>
      </c>
      <c r="I574" s="38">
        <v>1500</v>
      </c>
      <c r="J574" s="38">
        <v>0.2</v>
      </c>
      <c r="K574" s="38">
        <f t="shared" si="17"/>
        <v>9600</v>
      </c>
      <c r="L574" s="38" t="s">
        <v>41</v>
      </c>
      <c r="M574" s="38" t="s">
        <v>38</v>
      </c>
      <c r="N574" s="4" t="str">
        <f>IF(I574=_xlfn.XLOOKUP(F574,Lists!$D$2:$D$13,Lists!$E$2:$E$13,"Not Found"),"OK","Check Price")</f>
        <v>Check Price</v>
      </c>
    </row>
    <row r="575" spans="1:14" ht="15.5" thickTop="1" thickBot="1" x14ac:dyDescent="0.4">
      <c r="A575" s="36" t="str">
        <f t="shared" si="16"/>
        <v>ORD0574</v>
      </c>
      <c r="B575" s="34">
        <v>45398</v>
      </c>
      <c r="C575" s="37" t="s">
        <v>70</v>
      </c>
      <c r="D575" s="37" t="s">
        <v>39</v>
      </c>
      <c r="E575" s="37" t="s">
        <v>80</v>
      </c>
      <c r="F575" s="37" t="s">
        <v>20</v>
      </c>
      <c r="G575" s="35" t="str">
        <f>_xlfn.XLOOKUP(F575,Lists!$J$2:$J$13,Lists!$K$2:$K$13,"Not Found")</f>
        <v>Electronics</v>
      </c>
      <c r="H575" s="37">
        <v>1</v>
      </c>
      <c r="I575" s="35">
        <f>_xlfn.XLOOKUP(F575,Lists!$D$2:$D$13,Lists!$E$2:$E$13,"Not Found")</f>
        <v>85000</v>
      </c>
      <c r="J575" s="47">
        <v>0.1</v>
      </c>
      <c r="K575" s="35">
        <f>H575*I575*(1-J575)</f>
        <v>76500</v>
      </c>
      <c r="L575" s="37" t="s">
        <v>53</v>
      </c>
      <c r="M575" s="37" t="s">
        <v>38</v>
      </c>
      <c r="N575" s="4" t="str">
        <f>IF(I575=_xlfn.XLOOKUP(F575,Lists!$D$2:$D$13,Lists!$E$2:$E$13,"Not Found"),"OK","Check Price")</f>
        <v>OK</v>
      </c>
    </row>
    <row r="576" spans="1:14" ht="15.5" hidden="1" thickTop="1" thickBot="1" x14ac:dyDescent="0.4">
      <c r="A576" s="36" t="str">
        <f t="shared" si="16"/>
        <v>ORD0575</v>
      </c>
      <c r="B576" s="34">
        <v>45898</v>
      </c>
      <c r="C576" s="38" t="s">
        <v>72</v>
      </c>
      <c r="D576" s="38" t="s">
        <v>45</v>
      </c>
      <c r="E576" s="38" t="s">
        <v>35</v>
      </c>
      <c r="F576" s="38" t="s">
        <v>25</v>
      </c>
      <c r="G576" s="38" t="s">
        <v>24</v>
      </c>
      <c r="H576" s="38">
        <v>8</v>
      </c>
      <c r="I576" s="38">
        <v>1500</v>
      </c>
      <c r="J576" s="38">
        <v>0.15</v>
      </c>
      <c r="K576" s="38">
        <f t="shared" si="17"/>
        <v>10200</v>
      </c>
      <c r="L576" s="38" t="s">
        <v>47</v>
      </c>
      <c r="M576" s="38" t="s">
        <v>38</v>
      </c>
      <c r="N576" s="4" t="str">
        <f>IF(I576=_xlfn.XLOOKUP(F576,Lists!$D$2:$D$13,Lists!$E$2:$E$13,"Not Found"),"OK","Check Price")</f>
        <v>Check Price</v>
      </c>
    </row>
    <row r="577" spans="1:14" ht="15.5" hidden="1" thickTop="1" thickBot="1" x14ac:dyDescent="0.4">
      <c r="A577" s="36" t="str">
        <f t="shared" si="16"/>
        <v>ORD0576</v>
      </c>
      <c r="B577" s="34">
        <v>45603</v>
      </c>
      <c r="C577" s="37" t="s">
        <v>66</v>
      </c>
      <c r="D577" s="37" t="s">
        <v>34</v>
      </c>
      <c r="E577" s="37" t="s">
        <v>18</v>
      </c>
      <c r="F577" s="37" t="s">
        <v>43</v>
      </c>
      <c r="G577" s="37" t="s">
        <v>24</v>
      </c>
      <c r="H577" s="37">
        <v>3</v>
      </c>
      <c r="I577" s="37">
        <v>2000</v>
      </c>
      <c r="J577" s="37">
        <v>0.25</v>
      </c>
      <c r="K577" s="37">
        <f t="shared" si="17"/>
        <v>4500</v>
      </c>
      <c r="L577" s="37" t="s">
        <v>26</v>
      </c>
      <c r="M577" s="37" t="s">
        <v>27</v>
      </c>
      <c r="N577" s="4" t="str">
        <f>IF(I577=_xlfn.XLOOKUP(F577,Lists!$D$2:$D$13,Lists!$E$2:$E$13,"Not Found"),"OK","Check Price")</f>
        <v>Check Price</v>
      </c>
    </row>
    <row r="578" spans="1:14" ht="15.5" hidden="1" thickTop="1" thickBot="1" x14ac:dyDescent="0.4">
      <c r="A578" s="36" t="str">
        <f t="shared" si="16"/>
        <v>ORD0577</v>
      </c>
      <c r="B578" s="34">
        <v>46017</v>
      </c>
      <c r="C578" s="38" t="s">
        <v>60</v>
      </c>
      <c r="D578" s="38" t="s">
        <v>23</v>
      </c>
      <c r="E578" s="38" t="s">
        <v>80</v>
      </c>
      <c r="F578" s="38" t="s">
        <v>49</v>
      </c>
      <c r="G578" s="38" t="s">
        <v>30</v>
      </c>
      <c r="H578" s="38">
        <v>5</v>
      </c>
      <c r="I578" s="38">
        <v>1500</v>
      </c>
      <c r="J578" s="38">
        <v>0.15</v>
      </c>
      <c r="K578" s="38">
        <f t="shared" si="17"/>
        <v>6375</v>
      </c>
      <c r="L578" s="38" t="s">
        <v>53</v>
      </c>
      <c r="M578" s="38" t="s">
        <v>33</v>
      </c>
      <c r="N578" s="4" t="str">
        <f>IF(I578=_xlfn.XLOOKUP(F578,Lists!$D$2:$D$13,Lists!$E$2:$E$13,"Not Found"),"OK","Check Price")</f>
        <v>Check Price</v>
      </c>
    </row>
    <row r="579" spans="1:14" ht="15.5" hidden="1" thickTop="1" thickBot="1" x14ac:dyDescent="0.4">
      <c r="A579" s="36" t="str">
        <f t="shared" ref="A579:A642" si="18">"ORD"&amp;TEXT(ROW()-1,"0000")</f>
        <v>ORD0578</v>
      </c>
      <c r="B579" s="34">
        <v>45831</v>
      </c>
      <c r="C579" s="37" t="s">
        <v>68</v>
      </c>
      <c r="D579" s="37" t="s">
        <v>51</v>
      </c>
      <c r="E579" s="37" t="s">
        <v>79</v>
      </c>
      <c r="F579" s="37" t="s">
        <v>52</v>
      </c>
      <c r="G579" s="37" t="s">
        <v>24</v>
      </c>
      <c r="H579" s="37">
        <v>6</v>
      </c>
      <c r="I579" s="37">
        <v>1500</v>
      </c>
      <c r="J579" s="37">
        <v>0.25</v>
      </c>
      <c r="K579" s="37">
        <f t="shared" ref="K579:K641" si="19">H579*I579*(1-J579)</f>
        <v>6750</v>
      </c>
      <c r="L579" s="37" t="s">
        <v>41</v>
      </c>
      <c r="M579" s="37" t="s">
        <v>22</v>
      </c>
      <c r="N579" s="4" t="str">
        <f>IF(I579=_xlfn.XLOOKUP(F579,Lists!$D$2:$D$13,Lists!$E$2:$E$13,"Not Found"),"OK","Check Price")</f>
        <v>Check Price</v>
      </c>
    </row>
    <row r="580" spans="1:14" ht="15.5" hidden="1" thickTop="1" thickBot="1" x14ac:dyDescent="0.4">
      <c r="A580" s="36" t="str">
        <f t="shared" si="18"/>
        <v>ORD0579</v>
      </c>
      <c r="B580" s="34">
        <v>45479</v>
      </c>
      <c r="C580" s="38" t="s">
        <v>67</v>
      </c>
      <c r="D580" s="38" t="s">
        <v>39</v>
      </c>
      <c r="E580" s="38" t="s">
        <v>80</v>
      </c>
      <c r="F580" s="38" t="s">
        <v>25</v>
      </c>
      <c r="G580" s="38" t="s">
        <v>24</v>
      </c>
      <c r="H580" s="38">
        <v>2</v>
      </c>
      <c r="I580" s="38">
        <v>28000</v>
      </c>
      <c r="J580" s="38">
        <v>0.15</v>
      </c>
      <c r="K580" s="38">
        <f t="shared" si="19"/>
        <v>47600</v>
      </c>
      <c r="L580" s="38" t="s">
        <v>37</v>
      </c>
      <c r="M580" s="38" t="s">
        <v>22</v>
      </c>
      <c r="N580" s="4" t="str">
        <f>IF(I580=_xlfn.XLOOKUP(F580,Lists!$D$2:$D$13,Lists!$E$2:$E$13,"Not Found"),"OK","Check Price")</f>
        <v>Check Price</v>
      </c>
    </row>
    <row r="581" spans="1:14" ht="15.5" hidden="1" thickTop="1" thickBot="1" x14ac:dyDescent="0.4">
      <c r="A581" s="36" t="str">
        <f t="shared" si="18"/>
        <v>ORD0580</v>
      </c>
      <c r="B581" s="34">
        <v>45757</v>
      </c>
      <c r="C581" s="37" t="s">
        <v>78</v>
      </c>
      <c r="D581" s="37" t="s">
        <v>42</v>
      </c>
      <c r="E581" s="37" t="s">
        <v>79</v>
      </c>
      <c r="F581" s="37" t="s">
        <v>52</v>
      </c>
      <c r="G581" s="37" t="s">
        <v>24</v>
      </c>
      <c r="H581" s="37">
        <v>4</v>
      </c>
      <c r="I581" s="37">
        <v>28000</v>
      </c>
      <c r="J581" s="37">
        <v>0.15</v>
      </c>
      <c r="K581" s="37">
        <f t="shared" si="19"/>
        <v>95200</v>
      </c>
      <c r="L581" s="37" t="s">
        <v>50</v>
      </c>
      <c r="M581" s="37" t="s">
        <v>38</v>
      </c>
      <c r="N581" s="4" t="str">
        <f>IF(I581=_xlfn.XLOOKUP(F581,Lists!$D$2:$D$13,Lists!$E$2:$E$13,"Not Found"),"OK","Check Price")</f>
        <v>Check Price</v>
      </c>
    </row>
    <row r="582" spans="1:14" ht="15.5" hidden="1" thickTop="1" thickBot="1" x14ac:dyDescent="0.4">
      <c r="A582" s="36" t="str">
        <f t="shared" si="18"/>
        <v>ORD0581</v>
      </c>
      <c r="B582" s="34">
        <v>45495</v>
      </c>
      <c r="C582" s="38" t="s">
        <v>74</v>
      </c>
      <c r="D582" s="38" t="s">
        <v>39</v>
      </c>
      <c r="E582" s="38" t="s">
        <v>29</v>
      </c>
      <c r="F582" s="38" t="s">
        <v>43</v>
      </c>
      <c r="G582" s="38" t="s">
        <v>30</v>
      </c>
      <c r="H582" s="38">
        <v>1</v>
      </c>
      <c r="I582" s="38">
        <v>5000</v>
      </c>
      <c r="J582" s="38">
        <v>0.2</v>
      </c>
      <c r="K582" s="38">
        <f t="shared" si="19"/>
        <v>4000</v>
      </c>
      <c r="L582" s="38" t="s">
        <v>21</v>
      </c>
      <c r="M582" s="38" t="s">
        <v>33</v>
      </c>
      <c r="N582" s="4" t="str">
        <f>IF(I582=_xlfn.XLOOKUP(F582,Lists!$D$2:$D$13,Lists!$E$2:$E$13,"Not Found"),"OK","Check Price")</f>
        <v>Check Price</v>
      </c>
    </row>
    <row r="583" spans="1:14" ht="15.5" thickTop="1" thickBot="1" x14ac:dyDescent="0.4">
      <c r="A583" s="36" t="str">
        <f t="shared" si="18"/>
        <v>ORD0582</v>
      </c>
      <c r="B583" s="34">
        <v>45534</v>
      </c>
      <c r="C583" s="37" t="s">
        <v>69</v>
      </c>
      <c r="D583" s="37" t="s">
        <v>28</v>
      </c>
      <c r="E583" s="37" t="s">
        <v>80</v>
      </c>
      <c r="F583" s="37" t="s">
        <v>55</v>
      </c>
      <c r="G583" s="35" t="str">
        <f>_xlfn.XLOOKUP(F583,Lists!$J$2:$J$13,Lists!$K$2:$K$13,"Not Found")</f>
        <v>Office Supplies</v>
      </c>
      <c r="H583" s="37">
        <v>7</v>
      </c>
      <c r="I583" s="35">
        <f>_xlfn.XLOOKUP(F583,Lists!$D$2:$D$13,Lists!$E$2:$E$13,"Not Found")</f>
        <v>1500</v>
      </c>
      <c r="J583" s="47">
        <v>0.05</v>
      </c>
      <c r="K583" s="35">
        <f>H583*I583*(1-J583)</f>
        <v>9975</v>
      </c>
      <c r="L583" s="37" t="s">
        <v>44</v>
      </c>
      <c r="M583" s="37" t="s">
        <v>27</v>
      </c>
      <c r="N583" s="4" t="str">
        <f>IF(I583=_xlfn.XLOOKUP(F583,Lists!$D$2:$D$13,Lists!$E$2:$E$13,"Not Found"),"OK","Check Price")</f>
        <v>OK</v>
      </c>
    </row>
    <row r="584" spans="1:14" ht="15.5" hidden="1" thickTop="1" thickBot="1" x14ac:dyDescent="0.4">
      <c r="A584" s="36" t="str">
        <f t="shared" si="18"/>
        <v>ORD0583</v>
      </c>
      <c r="B584" s="34">
        <v>45410</v>
      </c>
      <c r="C584" s="38" t="s">
        <v>70</v>
      </c>
      <c r="D584" s="38" t="s">
        <v>28</v>
      </c>
      <c r="E584" s="38" t="s">
        <v>35</v>
      </c>
      <c r="F584" s="38" t="s">
        <v>36</v>
      </c>
      <c r="G584" s="38" t="s">
        <v>19</v>
      </c>
      <c r="H584" s="38">
        <v>3</v>
      </c>
      <c r="I584" s="38">
        <v>22000</v>
      </c>
      <c r="J584" s="38">
        <v>0.05</v>
      </c>
      <c r="K584" s="38">
        <f t="shared" si="19"/>
        <v>62700</v>
      </c>
      <c r="L584" s="38" t="s">
        <v>56</v>
      </c>
      <c r="M584" s="38" t="s">
        <v>33</v>
      </c>
      <c r="N584" s="4" t="str">
        <f>IF(I584=_xlfn.XLOOKUP(F584,Lists!$D$2:$D$13,Lists!$E$2:$E$13,"Not Found"),"OK","Check Price")</f>
        <v>Check Price</v>
      </c>
    </row>
    <row r="585" spans="1:14" ht="15.5" hidden="1" thickTop="1" thickBot="1" x14ac:dyDescent="0.4">
      <c r="A585" s="36" t="str">
        <f t="shared" si="18"/>
        <v>ORD0584</v>
      </c>
      <c r="B585" s="34">
        <v>45407</v>
      </c>
      <c r="C585" s="37" t="s">
        <v>66</v>
      </c>
      <c r="D585" s="37" t="s">
        <v>42</v>
      </c>
      <c r="E585" s="37" t="s">
        <v>80</v>
      </c>
      <c r="F585" s="37" t="s">
        <v>40</v>
      </c>
      <c r="G585" s="37" t="s">
        <v>24</v>
      </c>
      <c r="H585" s="37">
        <v>2</v>
      </c>
      <c r="I585" s="37">
        <v>28000</v>
      </c>
      <c r="J585" s="37">
        <v>0.15</v>
      </c>
      <c r="K585" s="37">
        <f t="shared" si="19"/>
        <v>47600</v>
      </c>
      <c r="L585" s="37" t="s">
        <v>26</v>
      </c>
      <c r="M585" s="37" t="s">
        <v>33</v>
      </c>
      <c r="N585" s="4" t="str">
        <f>IF(I585=_xlfn.XLOOKUP(F585,Lists!$D$2:$D$13,Lists!$E$2:$E$13,"Not Found"),"OK","Check Price")</f>
        <v>OK</v>
      </c>
    </row>
    <row r="586" spans="1:14" ht="15.5" hidden="1" thickTop="1" thickBot="1" x14ac:dyDescent="0.4">
      <c r="A586" s="36" t="str">
        <f t="shared" si="18"/>
        <v>ORD0585</v>
      </c>
      <c r="B586" s="34">
        <v>45484</v>
      </c>
      <c r="C586" s="38" t="s">
        <v>73</v>
      </c>
      <c r="D586" s="38" t="s">
        <v>54</v>
      </c>
      <c r="E586" s="38" t="s">
        <v>80</v>
      </c>
      <c r="F586" s="38" t="s">
        <v>31</v>
      </c>
      <c r="G586" s="38" t="s">
        <v>19</v>
      </c>
      <c r="H586" s="38">
        <v>8</v>
      </c>
      <c r="I586" s="38">
        <v>12000</v>
      </c>
      <c r="J586" s="38">
        <v>0.2</v>
      </c>
      <c r="K586" s="38">
        <f t="shared" si="19"/>
        <v>76800</v>
      </c>
      <c r="L586" s="38" t="s">
        <v>47</v>
      </c>
      <c r="M586" s="38" t="s">
        <v>27</v>
      </c>
      <c r="N586" s="4" t="str">
        <f>IF(I586=_xlfn.XLOOKUP(F586,Lists!$D$2:$D$13,Lists!$E$2:$E$13,"Not Found"),"OK","Check Price")</f>
        <v>Check Price</v>
      </c>
    </row>
    <row r="587" spans="1:14" ht="15.5" thickTop="1" thickBot="1" x14ac:dyDescent="0.4">
      <c r="A587" s="36" t="str">
        <f t="shared" si="18"/>
        <v>ORD0586</v>
      </c>
      <c r="B587" s="34">
        <v>45705</v>
      </c>
      <c r="C587" s="37" t="s">
        <v>66</v>
      </c>
      <c r="D587" s="37" t="s">
        <v>45</v>
      </c>
      <c r="E587" s="37" t="s">
        <v>119</v>
      </c>
      <c r="F587" s="37" t="s">
        <v>46</v>
      </c>
      <c r="G587" s="35" t="str">
        <f>_xlfn.XLOOKUP(F587,Lists!$J$2:$J$13,Lists!$K$2:$K$13,"Not Found")</f>
        <v>Furniture</v>
      </c>
      <c r="H587" s="37">
        <v>2</v>
      </c>
      <c r="I587" s="35">
        <f>_xlfn.XLOOKUP(F587,Lists!$D$2:$D$13,Lists!$E$2:$E$13,"Not Found")</f>
        <v>22000</v>
      </c>
      <c r="J587" s="47">
        <v>0.25</v>
      </c>
      <c r="K587" s="35">
        <f>H587*I587*(1-J587)</f>
        <v>33000</v>
      </c>
      <c r="L587" s="37" t="s">
        <v>37</v>
      </c>
      <c r="M587" s="37" t="s">
        <v>27</v>
      </c>
      <c r="N587" s="4" t="str">
        <f>IF(I587=_xlfn.XLOOKUP(F587,Lists!$D$2:$D$13,Lists!$E$2:$E$13,"Not Found"),"OK","Check Price")</f>
        <v>OK</v>
      </c>
    </row>
    <row r="588" spans="1:14" ht="15.5" hidden="1" thickTop="1" thickBot="1" x14ac:dyDescent="0.4">
      <c r="A588" s="36" t="str">
        <f t="shared" si="18"/>
        <v>ORD0587</v>
      </c>
      <c r="B588" s="34">
        <v>45644</v>
      </c>
      <c r="C588" s="38" t="s">
        <v>61</v>
      </c>
      <c r="D588" s="38" t="s">
        <v>34</v>
      </c>
      <c r="E588" s="38" t="s">
        <v>119</v>
      </c>
      <c r="F588" s="38" t="s">
        <v>43</v>
      </c>
      <c r="G588" s="38" t="s">
        <v>24</v>
      </c>
      <c r="H588" s="38">
        <v>8</v>
      </c>
      <c r="I588" s="38">
        <v>4000</v>
      </c>
      <c r="J588" s="38">
        <v>0.05</v>
      </c>
      <c r="K588" s="38">
        <f t="shared" si="19"/>
        <v>30400</v>
      </c>
      <c r="L588" s="38" t="s">
        <v>37</v>
      </c>
      <c r="M588" s="38" t="s">
        <v>22</v>
      </c>
      <c r="N588" s="4" t="str">
        <f>IF(I588=_xlfn.XLOOKUP(F588,Lists!$D$2:$D$13,Lists!$E$2:$E$13,"Not Found"),"OK","Check Price")</f>
        <v>Check Price</v>
      </c>
    </row>
    <row r="589" spans="1:14" ht="15.5" thickTop="1" thickBot="1" x14ac:dyDescent="0.4">
      <c r="A589" s="36" t="str">
        <f t="shared" si="18"/>
        <v>ORD0588</v>
      </c>
      <c r="B589" s="34">
        <v>45758</v>
      </c>
      <c r="C589" s="37" t="s">
        <v>59</v>
      </c>
      <c r="D589" s="37" t="s">
        <v>45</v>
      </c>
      <c r="E589" s="37" t="s">
        <v>119</v>
      </c>
      <c r="F589" s="37" t="s">
        <v>55</v>
      </c>
      <c r="G589" s="35" t="str">
        <f>_xlfn.XLOOKUP(F589,Lists!$J$2:$J$13,Lists!$K$2:$K$13,"Not Found")</f>
        <v>Office Supplies</v>
      </c>
      <c r="H589" s="37">
        <v>4</v>
      </c>
      <c r="I589" s="35">
        <f>_xlfn.XLOOKUP(F589,Lists!$D$2:$D$13,Lists!$E$2:$E$13,"Not Found")</f>
        <v>1500</v>
      </c>
      <c r="J589" s="47">
        <v>0.15</v>
      </c>
      <c r="K589" s="35">
        <f>H589*I589*(1-J589)</f>
        <v>5100</v>
      </c>
      <c r="L589" s="37" t="s">
        <v>21</v>
      </c>
      <c r="M589" s="37" t="s">
        <v>33</v>
      </c>
      <c r="N589" s="4" t="str">
        <f>IF(I589=_xlfn.XLOOKUP(F589,Lists!$D$2:$D$13,Lists!$E$2:$E$13,"Not Found"),"OK","Check Price")</f>
        <v>OK</v>
      </c>
    </row>
    <row r="590" spans="1:14" ht="15.5" hidden="1" thickTop="1" thickBot="1" x14ac:dyDescent="0.4">
      <c r="A590" s="36" t="str">
        <f t="shared" si="18"/>
        <v>ORD0589</v>
      </c>
      <c r="B590" s="34">
        <v>45509</v>
      </c>
      <c r="C590" s="38" t="s">
        <v>64</v>
      </c>
      <c r="D590" s="38" t="s">
        <v>51</v>
      </c>
      <c r="E590" s="38" t="s">
        <v>80</v>
      </c>
      <c r="F590" s="38" t="s">
        <v>49</v>
      </c>
      <c r="G590" s="38" t="s">
        <v>30</v>
      </c>
      <c r="H590" s="38">
        <v>4</v>
      </c>
      <c r="I590" s="38">
        <v>12000</v>
      </c>
      <c r="J590" s="38">
        <v>0.05</v>
      </c>
      <c r="K590" s="38">
        <f t="shared" si="19"/>
        <v>45600</v>
      </c>
      <c r="L590" s="38" t="s">
        <v>47</v>
      </c>
      <c r="M590" s="38" t="s">
        <v>38</v>
      </c>
      <c r="N590" s="4" t="str">
        <f>IF(I590=_xlfn.XLOOKUP(F590,Lists!$D$2:$D$13,Lists!$E$2:$E$13,"Not Found"),"OK","Check Price")</f>
        <v>Check Price</v>
      </c>
    </row>
    <row r="591" spans="1:14" ht="15.5" hidden="1" thickTop="1" thickBot="1" x14ac:dyDescent="0.4">
      <c r="A591" s="36" t="str">
        <f t="shared" si="18"/>
        <v>ORD0590</v>
      </c>
      <c r="B591" s="34">
        <v>45366</v>
      </c>
      <c r="C591" s="37" t="s">
        <v>68</v>
      </c>
      <c r="D591" s="37" t="s">
        <v>17</v>
      </c>
      <c r="E591" s="37" t="s">
        <v>18</v>
      </c>
      <c r="F591" s="37" t="s">
        <v>49</v>
      </c>
      <c r="G591" s="37" t="s">
        <v>24</v>
      </c>
      <c r="H591" s="37">
        <v>4</v>
      </c>
      <c r="I591" s="37">
        <v>85000</v>
      </c>
      <c r="J591" s="37">
        <v>0.25</v>
      </c>
      <c r="K591" s="37">
        <f t="shared" si="19"/>
        <v>255000</v>
      </c>
      <c r="L591" s="37" t="s">
        <v>53</v>
      </c>
      <c r="M591" s="37" t="s">
        <v>22</v>
      </c>
      <c r="N591" s="4" t="str">
        <f>IF(I591=_xlfn.XLOOKUP(F591,Lists!$D$2:$D$13,Lists!$E$2:$E$13,"Not Found"),"OK","Check Price")</f>
        <v>Check Price</v>
      </c>
    </row>
    <row r="592" spans="1:14" ht="15.5" thickTop="1" thickBot="1" x14ac:dyDescent="0.4">
      <c r="A592" s="36" t="str">
        <f t="shared" si="18"/>
        <v>ORD0591</v>
      </c>
      <c r="B592" s="34">
        <v>46005</v>
      </c>
      <c r="C592" s="38" t="s">
        <v>74</v>
      </c>
      <c r="D592" s="38" t="s">
        <v>42</v>
      </c>
      <c r="E592" s="38" t="s">
        <v>80</v>
      </c>
      <c r="F592" s="38" t="s">
        <v>20</v>
      </c>
      <c r="G592" s="35" t="str">
        <f>_xlfn.XLOOKUP(F592,Lists!$J$2:$J$13,Lists!$K$2:$K$13,"Not Found")</f>
        <v>Electronics</v>
      </c>
      <c r="H592" s="38">
        <v>9</v>
      </c>
      <c r="I592" s="35">
        <f>_xlfn.XLOOKUP(F592,Lists!$D$2:$D$13,Lists!$E$2:$E$13,"Not Found")</f>
        <v>85000</v>
      </c>
      <c r="J592" s="48">
        <v>0.2</v>
      </c>
      <c r="K592" s="35">
        <f>H592*I592*(1-J592)</f>
        <v>612000</v>
      </c>
      <c r="L592" s="38" t="s">
        <v>26</v>
      </c>
      <c r="M592" s="38" t="s">
        <v>22</v>
      </c>
      <c r="N592" s="4" t="str">
        <f>IF(I592=_xlfn.XLOOKUP(F592,Lists!$D$2:$D$13,Lists!$E$2:$E$13,"Not Found"),"OK","Check Price")</f>
        <v>OK</v>
      </c>
    </row>
    <row r="593" spans="1:14" ht="15.5" hidden="1" thickTop="1" thickBot="1" x14ac:dyDescent="0.4">
      <c r="A593" s="36" t="str">
        <f t="shared" si="18"/>
        <v>ORD0592</v>
      </c>
      <c r="B593" s="34">
        <v>45551</v>
      </c>
      <c r="C593" s="37" t="s">
        <v>63</v>
      </c>
      <c r="D593" s="37" t="s">
        <v>34</v>
      </c>
      <c r="E593" s="37" t="s">
        <v>80</v>
      </c>
      <c r="F593" s="37" t="s">
        <v>40</v>
      </c>
      <c r="G593" s="37" t="s">
        <v>19</v>
      </c>
      <c r="H593" s="37">
        <v>3</v>
      </c>
      <c r="I593" s="37">
        <v>350</v>
      </c>
      <c r="J593" s="37">
        <v>0.25</v>
      </c>
      <c r="K593" s="37">
        <f t="shared" si="19"/>
        <v>787.5</v>
      </c>
      <c r="L593" s="37" t="s">
        <v>37</v>
      </c>
      <c r="M593" s="37" t="s">
        <v>27</v>
      </c>
      <c r="N593" s="4" t="str">
        <f>IF(I593=_xlfn.XLOOKUP(F593,Lists!$D$2:$D$13,Lists!$E$2:$E$13,"Not Found"),"OK","Check Price")</f>
        <v>Check Price</v>
      </c>
    </row>
    <row r="594" spans="1:14" ht="15.5" hidden="1" thickTop="1" thickBot="1" x14ac:dyDescent="0.4">
      <c r="A594" s="36" t="str">
        <f t="shared" si="18"/>
        <v>ORD0593</v>
      </c>
      <c r="B594" s="34">
        <v>45536</v>
      </c>
      <c r="C594" s="38" t="s">
        <v>70</v>
      </c>
      <c r="D594" s="38" t="s">
        <v>17</v>
      </c>
      <c r="E594" s="38" t="s">
        <v>80</v>
      </c>
      <c r="F594" s="38" t="s">
        <v>40</v>
      </c>
      <c r="G594" s="38" t="s">
        <v>19</v>
      </c>
      <c r="H594" s="38">
        <v>10</v>
      </c>
      <c r="I594" s="38">
        <v>28000</v>
      </c>
      <c r="J594" s="38">
        <v>0.25</v>
      </c>
      <c r="K594" s="38">
        <f t="shared" si="19"/>
        <v>210000</v>
      </c>
      <c r="L594" s="38" t="s">
        <v>44</v>
      </c>
      <c r="M594" s="38" t="s">
        <v>33</v>
      </c>
      <c r="N594" s="4" t="str">
        <f>IF(I594=_xlfn.XLOOKUP(F594,Lists!$D$2:$D$13,Lists!$E$2:$E$13,"Not Found"),"OK","Check Price")</f>
        <v>OK</v>
      </c>
    </row>
    <row r="595" spans="1:14" ht="15.5" hidden="1" thickTop="1" thickBot="1" x14ac:dyDescent="0.4">
      <c r="A595" s="36" t="str">
        <f t="shared" si="18"/>
        <v>ORD0594</v>
      </c>
      <c r="B595" s="34">
        <v>46011</v>
      </c>
      <c r="C595" s="37" t="s">
        <v>68</v>
      </c>
      <c r="D595" s="37" t="s">
        <v>28</v>
      </c>
      <c r="E595" s="37" t="s">
        <v>119</v>
      </c>
      <c r="F595" s="37" t="s">
        <v>49</v>
      </c>
      <c r="G595" s="37" t="s">
        <v>19</v>
      </c>
      <c r="H595" s="37">
        <v>7</v>
      </c>
      <c r="I595" s="37">
        <v>1200</v>
      </c>
      <c r="J595" s="37">
        <v>0.25</v>
      </c>
      <c r="K595" s="37">
        <f t="shared" si="19"/>
        <v>6300</v>
      </c>
      <c r="L595" s="37" t="s">
        <v>41</v>
      </c>
      <c r="M595" s="37" t="s">
        <v>27</v>
      </c>
      <c r="N595" s="4" t="str">
        <f>IF(I595=_xlfn.XLOOKUP(F595,Lists!$D$2:$D$13,Lists!$E$2:$E$13,"Not Found"),"OK","Check Price")</f>
        <v>Check Price</v>
      </c>
    </row>
    <row r="596" spans="1:14" ht="15.5" hidden="1" thickTop="1" thickBot="1" x14ac:dyDescent="0.4">
      <c r="A596" s="36" t="str">
        <f t="shared" si="18"/>
        <v>ORD0595</v>
      </c>
      <c r="B596" s="34">
        <v>45795</v>
      </c>
      <c r="C596" s="38" t="s">
        <v>74</v>
      </c>
      <c r="D596" s="38" t="s">
        <v>45</v>
      </c>
      <c r="E596" s="38" t="s">
        <v>35</v>
      </c>
      <c r="F596" s="38" t="s">
        <v>25</v>
      </c>
      <c r="G596" s="38" t="s">
        <v>19</v>
      </c>
      <c r="H596" s="38">
        <v>7</v>
      </c>
      <c r="I596" s="38">
        <v>1500</v>
      </c>
      <c r="J596" s="38">
        <v>0.2</v>
      </c>
      <c r="K596" s="38">
        <f t="shared" si="19"/>
        <v>8400</v>
      </c>
      <c r="L596" s="38" t="s">
        <v>37</v>
      </c>
      <c r="M596" s="38" t="s">
        <v>38</v>
      </c>
      <c r="N596" s="4" t="str">
        <f>IF(I596=_xlfn.XLOOKUP(F596,Lists!$D$2:$D$13,Lists!$E$2:$E$13,"Not Found"),"OK","Check Price")</f>
        <v>Check Price</v>
      </c>
    </row>
    <row r="597" spans="1:14" ht="15.5" thickTop="1" thickBot="1" x14ac:dyDescent="0.4">
      <c r="A597" s="36" t="str">
        <f t="shared" si="18"/>
        <v>ORD0596</v>
      </c>
      <c r="B597" s="34">
        <v>45432</v>
      </c>
      <c r="C597" s="37" t="s">
        <v>68</v>
      </c>
      <c r="D597" s="37" t="s">
        <v>48</v>
      </c>
      <c r="E597" s="37" t="s">
        <v>119</v>
      </c>
      <c r="F597" s="37" t="s">
        <v>46</v>
      </c>
      <c r="G597" s="35" t="str">
        <f>_xlfn.XLOOKUP(F597,Lists!$J$2:$J$13,Lists!$K$2:$K$13,"Not Found")</f>
        <v>Furniture</v>
      </c>
      <c r="H597" s="37">
        <v>7</v>
      </c>
      <c r="I597" s="35">
        <f>_xlfn.XLOOKUP(F597,Lists!$D$2:$D$13,Lists!$E$2:$E$13,"Not Found")</f>
        <v>22000</v>
      </c>
      <c r="J597" s="47">
        <v>0.1</v>
      </c>
      <c r="K597" s="35">
        <f>H597*I597*(1-J597)</f>
        <v>138600</v>
      </c>
      <c r="L597" s="37" t="s">
        <v>44</v>
      </c>
      <c r="M597" s="37" t="s">
        <v>27</v>
      </c>
      <c r="N597" s="4" t="str">
        <f>IF(I597=_xlfn.XLOOKUP(F597,Lists!$D$2:$D$13,Lists!$E$2:$E$13,"Not Found"),"OK","Check Price")</f>
        <v>OK</v>
      </c>
    </row>
    <row r="598" spans="1:14" ht="15.5" hidden="1" thickTop="1" thickBot="1" x14ac:dyDescent="0.4">
      <c r="A598" s="36" t="str">
        <f t="shared" si="18"/>
        <v>ORD0597</v>
      </c>
      <c r="B598" s="34">
        <v>45533</v>
      </c>
      <c r="C598" s="38" t="s">
        <v>75</v>
      </c>
      <c r="D598" s="38" t="s">
        <v>17</v>
      </c>
      <c r="E598" s="38" t="s">
        <v>80</v>
      </c>
      <c r="F598" s="38" t="s">
        <v>40</v>
      </c>
      <c r="G598" s="38" t="s">
        <v>24</v>
      </c>
      <c r="H598" s="38">
        <v>4</v>
      </c>
      <c r="I598" s="38">
        <v>12000</v>
      </c>
      <c r="J598" s="38">
        <v>0.05</v>
      </c>
      <c r="K598" s="38">
        <f t="shared" si="19"/>
        <v>45600</v>
      </c>
      <c r="L598" s="38" t="s">
        <v>26</v>
      </c>
      <c r="M598" s="38" t="s">
        <v>22</v>
      </c>
      <c r="N598" s="4" t="str">
        <f>IF(I598=_xlfn.XLOOKUP(F598,Lists!$D$2:$D$13,Lists!$E$2:$E$13,"Not Found"),"OK","Check Price")</f>
        <v>Check Price</v>
      </c>
    </row>
    <row r="599" spans="1:14" ht="15.5" hidden="1" thickTop="1" thickBot="1" x14ac:dyDescent="0.4">
      <c r="A599" s="36" t="str">
        <f t="shared" si="18"/>
        <v>ORD0598</v>
      </c>
      <c r="B599" s="34">
        <v>45981</v>
      </c>
      <c r="C599" s="37" t="s">
        <v>69</v>
      </c>
      <c r="D599" s="37" t="s">
        <v>42</v>
      </c>
      <c r="E599" s="37" t="s">
        <v>29</v>
      </c>
      <c r="F599" s="37" t="s">
        <v>52</v>
      </c>
      <c r="G599" s="37" t="s">
        <v>24</v>
      </c>
      <c r="H599" s="37">
        <v>3</v>
      </c>
      <c r="I599" s="37">
        <v>1200</v>
      </c>
      <c r="J599" s="37">
        <v>0.2</v>
      </c>
      <c r="K599" s="37">
        <f t="shared" si="19"/>
        <v>2880</v>
      </c>
      <c r="L599" s="37" t="s">
        <v>37</v>
      </c>
      <c r="M599" s="37" t="s">
        <v>38</v>
      </c>
      <c r="N599" s="4" t="str">
        <f>IF(I599=_xlfn.XLOOKUP(F599,Lists!$D$2:$D$13,Lists!$E$2:$E$13,"Not Found"),"OK","Check Price")</f>
        <v>OK</v>
      </c>
    </row>
    <row r="600" spans="1:14" ht="15.5" hidden="1" thickTop="1" thickBot="1" x14ac:dyDescent="0.4">
      <c r="A600" s="36" t="str">
        <f t="shared" si="18"/>
        <v>ORD0599</v>
      </c>
      <c r="B600" s="34">
        <v>45721</v>
      </c>
      <c r="C600" s="38" t="s">
        <v>68</v>
      </c>
      <c r="D600" s="38" t="s">
        <v>45</v>
      </c>
      <c r="E600" s="38" t="s">
        <v>29</v>
      </c>
      <c r="F600" s="38" t="s">
        <v>36</v>
      </c>
      <c r="G600" s="38" t="s">
        <v>19</v>
      </c>
      <c r="H600" s="38">
        <v>8</v>
      </c>
      <c r="I600" s="38">
        <v>22000</v>
      </c>
      <c r="J600" s="38">
        <v>0.15</v>
      </c>
      <c r="K600" s="38">
        <f t="shared" si="19"/>
        <v>149600</v>
      </c>
      <c r="L600" s="38" t="s">
        <v>47</v>
      </c>
      <c r="M600" s="38" t="s">
        <v>33</v>
      </c>
      <c r="N600" s="4" t="str">
        <f>IF(I600=_xlfn.XLOOKUP(F600,Lists!$D$2:$D$13,Lists!$E$2:$E$13,"Not Found"),"OK","Check Price")</f>
        <v>Check Price</v>
      </c>
    </row>
    <row r="601" spans="1:14" ht="15.5" hidden="1" thickTop="1" thickBot="1" x14ac:dyDescent="0.4">
      <c r="A601" s="36" t="str">
        <f t="shared" si="18"/>
        <v>ORD0600</v>
      </c>
      <c r="B601" s="34">
        <v>45347</v>
      </c>
      <c r="C601" s="37" t="s">
        <v>74</v>
      </c>
      <c r="D601" s="37" t="s">
        <v>54</v>
      </c>
      <c r="E601" s="37" t="s">
        <v>29</v>
      </c>
      <c r="F601" s="37" t="s">
        <v>36</v>
      </c>
      <c r="G601" s="37" t="s">
        <v>24</v>
      </c>
      <c r="H601" s="37">
        <v>4</v>
      </c>
      <c r="I601" s="37">
        <v>2500</v>
      </c>
      <c r="J601" s="37">
        <v>0.05</v>
      </c>
      <c r="K601" s="37">
        <f t="shared" si="19"/>
        <v>9500</v>
      </c>
      <c r="L601" s="37" t="s">
        <v>50</v>
      </c>
      <c r="M601" s="37" t="s">
        <v>22</v>
      </c>
      <c r="N601" s="4" t="str">
        <f>IF(I601=_xlfn.XLOOKUP(F601,Lists!$D$2:$D$13,Lists!$E$2:$E$13,"Not Found"),"OK","Check Price")</f>
        <v>OK</v>
      </c>
    </row>
    <row r="602" spans="1:14" ht="15.5" hidden="1" thickTop="1" thickBot="1" x14ac:dyDescent="0.4">
      <c r="A602" s="36" t="str">
        <f t="shared" si="18"/>
        <v>ORD0601</v>
      </c>
      <c r="B602" s="34">
        <v>45993</v>
      </c>
      <c r="C602" s="38" t="s">
        <v>60</v>
      </c>
      <c r="D602" s="38" t="s">
        <v>51</v>
      </c>
      <c r="E602" s="38" t="s">
        <v>80</v>
      </c>
      <c r="F602" s="38" t="s">
        <v>49</v>
      </c>
      <c r="G602" s="38" t="s">
        <v>19</v>
      </c>
      <c r="H602" s="38">
        <v>8</v>
      </c>
      <c r="I602" s="38">
        <v>2500</v>
      </c>
      <c r="J602" s="38">
        <v>0.15</v>
      </c>
      <c r="K602" s="38">
        <f t="shared" si="19"/>
        <v>17000</v>
      </c>
      <c r="L602" s="38" t="s">
        <v>37</v>
      </c>
      <c r="M602" s="38" t="s">
        <v>22</v>
      </c>
      <c r="N602" s="4" t="str">
        <f>IF(I602=_xlfn.XLOOKUP(F602,Lists!$D$2:$D$13,Lists!$E$2:$E$13,"Not Found"),"OK","Check Price")</f>
        <v>Check Price</v>
      </c>
    </row>
    <row r="603" spans="1:14" ht="15.5" hidden="1" thickTop="1" thickBot="1" x14ac:dyDescent="0.4">
      <c r="A603" s="36" t="str">
        <f t="shared" si="18"/>
        <v>ORD0602</v>
      </c>
      <c r="B603" s="34">
        <v>45348</v>
      </c>
      <c r="C603" s="37" t="s">
        <v>73</v>
      </c>
      <c r="D603" s="37" t="s">
        <v>51</v>
      </c>
      <c r="E603" s="37" t="s">
        <v>80</v>
      </c>
      <c r="F603" s="37" t="s">
        <v>36</v>
      </c>
      <c r="G603" s="37" t="s">
        <v>30</v>
      </c>
      <c r="H603" s="37">
        <v>3</v>
      </c>
      <c r="I603" s="37">
        <v>22000</v>
      </c>
      <c r="J603" s="37">
        <v>0.25</v>
      </c>
      <c r="K603" s="37">
        <f t="shared" si="19"/>
        <v>49500</v>
      </c>
      <c r="L603" s="37" t="s">
        <v>21</v>
      </c>
      <c r="M603" s="37" t="s">
        <v>38</v>
      </c>
      <c r="N603" s="4" t="str">
        <f>IF(I603=_xlfn.XLOOKUP(F603,Lists!$D$2:$D$13,Lists!$E$2:$E$13,"Not Found"),"OK","Check Price")</f>
        <v>Check Price</v>
      </c>
    </row>
    <row r="604" spans="1:14" ht="15.5" hidden="1" thickTop="1" thickBot="1" x14ac:dyDescent="0.4">
      <c r="A604" s="36" t="str">
        <f t="shared" si="18"/>
        <v>ORD0603</v>
      </c>
      <c r="B604" s="34">
        <v>45573</v>
      </c>
      <c r="C604" s="38" t="s">
        <v>68</v>
      </c>
      <c r="D604" s="38" t="s">
        <v>23</v>
      </c>
      <c r="E604" s="38" t="s">
        <v>79</v>
      </c>
      <c r="F604" s="38" t="s">
        <v>43</v>
      </c>
      <c r="G604" s="38" t="s">
        <v>30</v>
      </c>
      <c r="H604" s="38">
        <v>9</v>
      </c>
      <c r="I604" s="38">
        <v>85000</v>
      </c>
      <c r="J604" s="38">
        <v>0.1</v>
      </c>
      <c r="K604" s="38">
        <f t="shared" si="19"/>
        <v>688500</v>
      </c>
      <c r="L604" s="38" t="s">
        <v>21</v>
      </c>
      <c r="M604" s="38" t="s">
        <v>27</v>
      </c>
      <c r="N604" s="4" t="str">
        <f>IF(I604=_xlfn.XLOOKUP(F604,Lists!$D$2:$D$13,Lists!$E$2:$E$13,"Not Found"),"OK","Check Price")</f>
        <v>Check Price</v>
      </c>
    </row>
    <row r="605" spans="1:14" ht="15.5" thickTop="1" thickBot="1" x14ac:dyDescent="0.4">
      <c r="A605" s="36" t="str">
        <f t="shared" si="18"/>
        <v>ORD0604</v>
      </c>
      <c r="B605" s="34">
        <v>45476</v>
      </c>
      <c r="C605" s="37" t="s">
        <v>69</v>
      </c>
      <c r="D605" s="37" t="s">
        <v>39</v>
      </c>
      <c r="E605" s="37" t="s">
        <v>35</v>
      </c>
      <c r="F605" s="37" t="s">
        <v>55</v>
      </c>
      <c r="G605" s="35" t="str">
        <f>_xlfn.XLOOKUP(F605,Lists!$J$2:$J$13,Lists!$K$2:$K$13,"Not Found")</f>
        <v>Office Supplies</v>
      </c>
      <c r="H605" s="37">
        <v>1</v>
      </c>
      <c r="I605" s="35">
        <f>_xlfn.XLOOKUP(F605,Lists!$D$2:$D$13,Lists!$E$2:$E$13,"Not Found")</f>
        <v>1500</v>
      </c>
      <c r="J605" s="47">
        <v>0.2</v>
      </c>
      <c r="K605" s="35">
        <f>H605*I605*(1-J605)</f>
        <v>1200</v>
      </c>
      <c r="L605" s="37" t="s">
        <v>21</v>
      </c>
      <c r="M605" s="37" t="s">
        <v>38</v>
      </c>
      <c r="N605" s="4" t="str">
        <f>IF(I605=_xlfn.XLOOKUP(F605,Lists!$D$2:$D$13,Lists!$E$2:$E$13,"Not Found"),"OK","Check Price")</f>
        <v>OK</v>
      </c>
    </row>
    <row r="606" spans="1:14" ht="15.5" hidden="1" thickTop="1" thickBot="1" x14ac:dyDescent="0.4">
      <c r="A606" s="36" t="str">
        <f t="shared" si="18"/>
        <v>ORD0605</v>
      </c>
      <c r="B606" s="34">
        <v>45647</v>
      </c>
      <c r="C606" s="38" t="s">
        <v>69</v>
      </c>
      <c r="D606" s="38" t="s">
        <v>23</v>
      </c>
      <c r="E606" s="38" t="s">
        <v>35</v>
      </c>
      <c r="F606" s="38" t="s">
        <v>25</v>
      </c>
      <c r="G606" s="38" t="s">
        <v>30</v>
      </c>
      <c r="H606" s="38">
        <v>9</v>
      </c>
      <c r="I606" s="38">
        <v>5000</v>
      </c>
      <c r="J606" s="38">
        <v>0.15</v>
      </c>
      <c r="K606" s="38">
        <f t="shared" si="19"/>
        <v>38250</v>
      </c>
      <c r="L606" s="38" t="s">
        <v>21</v>
      </c>
      <c r="M606" s="38" t="s">
        <v>33</v>
      </c>
      <c r="N606" s="4" t="str">
        <f>IF(I606=_xlfn.XLOOKUP(F606,Lists!$D$2:$D$13,Lists!$E$2:$E$13,"Not Found"),"OK","Check Price")</f>
        <v>Check Price</v>
      </c>
    </row>
    <row r="607" spans="1:14" ht="15.5" hidden="1" thickTop="1" thickBot="1" x14ac:dyDescent="0.4">
      <c r="A607" s="36" t="str">
        <f t="shared" si="18"/>
        <v>ORD0606</v>
      </c>
      <c r="B607" s="34">
        <v>45953</v>
      </c>
      <c r="C607" s="37" t="s">
        <v>75</v>
      </c>
      <c r="D607" s="37" t="s">
        <v>42</v>
      </c>
      <c r="E607" s="37" t="s">
        <v>18</v>
      </c>
      <c r="F607" s="37" t="s">
        <v>36</v>
      </c>
      <c r="G607" s="37" t="s">
        <v>19</v>
      </c>
      <c r="H607" s="37">
        <v>6</v>
      </c>
      <c r="I607" s="37">
        <v>12000</v>
      </c>
      <c r="J607" s="37">
        <v>0.1</v>
      </c>
      <c r="K607" s="37">
        <f t="shared" si="19"/>
        <v>64800</v>
      </c>
      <c r="L607" s="37" t="s">
        <v>47</v>
      </c>
      <c r="M607" s="37" t="s">
        <v>22</v>
      </c>
      <c r="N607" s="4" t="str">
        <f>IF(I607=_xlfn.XLOOKUP(F607,Lists!$D$2:$D$13,Lists!$E$2:$E$13,"Not Found"),"OK","Check Price")</f>
        <v>Check Price</v>
      </c>
    </row>
    <row r="608" spans="1:14" ht="15.5" hidden="1" thickTop="1" thickBot="1" x14ac:dyDescent="0.4">
      <c r="A608" s="36" t="str">
        <f t="shared" si="18"/>
        <v>ORD0607</v>
      </c>
      <c r="B608" s="34">
        <v>45533</v>
      </c>
      <c r="C608" s="38" t="s">
        <v>59</v>
      </c>
      <c r="D608" s="38" t="s">
        <v>23</v>
      </c>
      <c r="E608" s="38" t="s">
        <v>119</v>
      </c>
      <c r="F608" s="38" t="s">
        <v>57</v>
      </c>
      <c r="G608" s="38" t="s">
        <v>30</v>
      </c>
      <c r="H608" s="38">
        <v>1</v>
      </c>
      <c r="I608" s="38">
        <v>12000</v>
      </c>
      <c r="J608" s="38">
        <v>0.1</v>
      </c>
      <c r="K608" s="38">
        <f t="shared" si="19"/>
        <v>10800</v>
      </c>
      <c r="L608" s="38" t="s">
        <v>53</v>
      </c>
      <c r="M608" s="38" t="s">
        <v>33</v>
      </c>
      <c r="N608" s="4" t="str">
        <f>IF(I608=_xlfn.XLOOKUP(F608,Lists!$D$2:$D$13,Lists!$E$2:$E$13,"Not Found"),"OK","Check Price")</f>
        <v>Check Price</v>
      </c>
    </row>
    <row r="609" spans="1:14" ht="15.5" hidden="1" thickTop="1" thickBot="1" x14ac:dyDescent="0.4">
      <c r="A609" s="36" t="str">
        <f t="shared" si="18"/>
        <v>ORD0608</v>
      </c>
      <c r="B609" s="34">
        <v>45453</v>
      </c>
      <c r="C609" s="37" t="s">
        <v>62</v>
      </c>
      <c r="D609" s="37" t="s">
        <v>42</v>
      </c>
      <c r="E609" s="37" t="s">
        <v>79</v>
      </c>
      <c r="F609" s="37" t="s">
        <v>58</v>
      </c>
      <c r="G609" s="37" t="s">
        <v>24</v>
      </c>
      <c r="H609" s="37">
        <v>6</v>
      </c>
      <c r="I609" s="37">
        <v>12000</v>
      </c>
      <c r="J609" s="37">
        <v>0.15</v>
      </c>
      <c r="K609" s="37">
        <f t="shared" si="19"/>
        <v>61200</v>
      </c>
      <c r="L609" s="37" t="s">
        <v>26</v>
      </c>
      <c r="M609" s="37" t="s">
        <v>33</v>
      </c>
      <c r="N609" s="4" t="str">
        <f>IF(I609=_xlfn.XLOOKUP(F609,Lists!$D$2:$D$13,Lists!$E$2:$E$13,"Not Found"),"OK","Check Price")</f>
        <v>Check Price</v>
      </c>
    </row>
    <row r="610" spans="1:14" ht="15.5" thickTop="1" thickBot="1" x14ac:dyDescent="0.4">
      <c r="A610" s="36" t="str">
        <f t="shared" si="18"/>
        <v>ORD0609</v>
      </c>
      <c r="B610" s="34">
        <v>45508</v>
      </c>
      <c r="C610" s="38" t="s">
        <v>64</v>
      </c>
      <c r="D610" s="38" t="s">
        <v>42</v>
      </c>
      <c r="E610" s="38" t="s">
        <v>35</v>
      </c>
      <c r="F610" s="38" t="s">
        <v>55</v>
      </c>
      <c r="G610" s="35" t="str">
        <f>_xlfn.XLOOKUP(F610,Lists!$J$2:$J$13,Lists!$K$2:$K$13,"Not Found")</f>
        <v>Office Supplies</v>
      </c>
      <c r="H610" s="38">
        <v>9</v>
      </c>
      <c r="I610" s="35">
        <f>_xlfn.XLOOKUP(F610,Lists!$D$2:$D$13,Lists!$E$2:$E$13,"Not Found")</f>
        <v>1500</v>
      </c>
      <c r="J610" s="48">
        <v>0.2</v>
      </c>
      <c r="K610" s="35">
        <f>H610*I610*(1-J610)</f>
        <v>10800</v>
      </c>
      <c r="L610" s="38" t="s">
        <v>32</v>
      </c>
      <c r="M610" s="38" t="s">
        <v>27</v>
      </c>
      <c r="N610" s="4" t="str">
        <f>IF(I610=_xlfn.XLOOKUP(F610,Lists!$D$2:$D$13,Lists!$E$2:$E$13,"Not Found"),"OK","Check Price")</f>
        <v>OK</v>
      </c>
    </row>
    <row r="611" spans="1:14" ht="15.5" hidden="1" thickTop="1" thickBot="1" x14ac:dyDescent="0.4">
      <c r="A611" s="36" t="str">
        <f t="shared" si="18"/>
        <v>ORD0610</v>
      </c>
      <c r="B611" s="34">
        <v>45637</v>
      </c>
      <c r="C611" s="37" t="s">
        <v>63</v>
      </c>
      <c r="D611" s="37" t="s">
        <v>48</v>
      </c>
      <c r="E611" s="37" t="s">
        <v>79</v>
      </c>
      <c r="F611" s="37" t="s">
        <v>52</v>
      </c>
      <c r="G611" s="37" t="s">
        <v>24</v>
      </c>
      <c r="H611" s="37">
        <v>6</v>
      </c>
      <c r="I611" s="37">
        <v>85000</v>
      </c>
      <c r="J611" s="37">
        <v>0.1</v>
      </c>
      <c r="K611" s="37">
        <f t="shared" si="19"/>
        <v>459000</v>
      </c>
      <c r="L611" s="37" t="s">
        <v>56</v>
      </c>
      <c r="M611" s="37" t="s">
        <v>33</v>
      </c>
      <c r="N611" s="4" t="str">
        <f>IF(I611=_xlfn.XLOOKUP(F611,Lists!$D$2:$D$13,Lists!$E$2:$E$13,"Not Found"),"OK","Check Price")</f>
        <v>Check Price</v>
      </c>
    </row>
    <row r="612" spans="1:14" ht="15.5" thickTop="1" thickBot="1" x14ac:dyDescent="0.4">
      <c r="A612" s="36" t="str">
        <f t="shared" si="18"/>
        <v>ORD0611</v>
      </c>
      <c r="B612" s="34">
        <v>45413</v>
      </c>
      <c r="C612" s="38" t="s">
        <v>59</v>
      </c>
      <c r="D612" s="38" t="s">
        <v>28</v>
      </c>
      <c r="E612" s="38" t="s">
        <v>35</v>
      </c>
      <c r="F612" s="38" t="s">
        <v>46</v>
      </c>
      <c r="G612" s="35" t="str">
        <f>_xlfn.XLOOKUP(F612,Lists!$J$2:$J$13,Lists!$K$2:$K$13,"Not Found")</f>
        <v>Furniture</v>
      </c>
      <c r="H612" s="38">
        <v>7</v>
      </c>
      <c r="I612" s="35">
        <f>_xlfn.XLOOKUP(F612,Lists!$D$2:$D$13,Lists!$E$2:$E$13,"Not Found")</f>
        <v>22000</v>
      </c>
      <c r="J612" s="48">
        <v>0.15</v>
      </c>
      <c r="K612" s="35">
        <f>H612*I612*(1-J612)</f>
        <v>130900</v>
      </c>
      <c r="L612" s="38" t="s">
        <v>37</v>
      </c>
      <c r="M612" s="38" t="s">
        <v>27</v>
      </c>
      <c r="N612" s="4" t="str">
        <f>IF(I612=_xlfn.XLOOKUP(F612,Lists!$D$2:$D$13,Lists!$E$2:$E$13,"Not Found"),"OK","Check Price")</f>
        <v>OK</v>
      </c>
    </row>
    <row r="613" spans="1:14" ht="15.5" hidden="1" thickTop="1" thickBot="1" x14ac:dyDescent="0.4">
      <c r="A613" s="36" t="str">
        <f t="shared" si="18"/>
        <v>ORD0612</v>
      </c>
      <c r="B613" s="34">
        <v>45798</v>
      </c>
      <c r="C613" s="37" t="s">
        <v>68</v>
      </c>
      <c r="D613" s="37" t="s">
        <v>45</v>
      </c>
      <c r="E613" s="37" t="s">
        <v>79</v>
      </c>
      <c r="F613" s="37" t="s">
        <v>25</v>
      </c>
      <c r="G613" s="37" t="s">
        <v>30</v>
      </c>
      <c r="H613" s="37">
        <v>3</v>
      </c>
      <c r="I613" s="37">
        <v>350</v>
      </c>
      <c r="J613" s="37">
        <v>0.25</v>
      </c>
      <c r="K613" s="37">
        <f t="shared" si="19"/>
        <v>787.5</v>
      </c>
      <c r="L613" s="37" t="s">
        <v>50</v>
      </c>
      <c r="M613" s="37" t="s">
        <v>27</v>
      </c>
      <c r="N613" s="4" t="str">
        <f>IF(I613=_xlfn.XLOOKUP(F613,Lists!$D$2:$D$13,Lists!$E$2:$E$13,"Not Found"),"OK","Check Price")</f>
        <v>Check Price</v>
      </c>
    </row>
    <row r="614" spans="1:14" ht="15.5" thickTop="1" thickBot="1" x14ac:dyDescent="0.4">
      <c r="A614" s="36" t="str">
        <f t="shared" si="18"/>
        <v>ORD0613</v>
      </c>
      <c r="B614" s="34">
        <v>45849</v>
      </c>
      <c r="C614" s="38" t="s">
        <v>60</v>
      </c>
      <c r="D614" s="38" t="s">
        <v>23</v>
      </c>
      <c r="E614" s="38" t="s">
        <v>119</v>
      </c>
      <c r="F614" s="38" t="s">
        <v>20</v>
      </c>
      <c r="G614" s="35" t="str">
        <f>_xlfn.XLOOKUP(F614,Lists!$J$2:$J$13,Lists!$K$2:$K$13,"Not Found")</f>
        <v>Electronics</v>
      </c>
      <c r="H614" s="38">
        <v>10</v>
      </c>
      <c r="I614" s="35">
        <f>_xlfn.XLOOKUP(F614,Lists!$D$2:$D$13,Lists!$E$2:$E$13,"Not Found")</f>
        <v>85000</v>
      </c>
      <c r="J614" s="48">
        <v>0.2</v>
      </c>
      <c r="K614" s="35">
        <f>H614*I614*(1-J614)</f>
        <v>680000</v>
      </c>
      <c r="L614" s="38" t="s">
        <v>32</v>
      </c>
      <c r="M614" s="38" t="s">
        <v>22</v>
      </c>
      <c r="N614" s="4" t="str">
        <f>IF(I614=_xlfn.XLOOKUP(F614,Lists!$D$2:$D$13,Lists!$E$2:$E$13,"Not Found"),"OK","Check Price")</f>
        <v>OK</v>
      </c>
    </row>
    <row r="615" spans="1:14" ht="15.5" hidden="1" thickTop="1" thickBot="1" x14ac:dyDescent="0.4">
      <c r="A615" s="36" t="str">
        <f t="shared" si="18"/>
        <v>ORD0614</v>
      </c>
      <c r="B615" s="34">
        <v>45333</v>
      </c>
      <c r="C615" s="37" t="s">
        <v>73</v>
      </c>
      <c r="D615" s="37" t="s">
        <v>23</v>
      </c>
      <c r="E615" s="37" t="s">
        <v>18</v>
      </c>
      <c r="F615" s="37" t="s">
        <v>52</v>
      </c>
      <c r="G615" s="37" t="s">
        <v>19</v>
      </c>
      <c r="H615" s="37">
        <v>9</v>
      </c>
      <c r="I615" s="37">
        <v>4000</v>
      </c>
      <c r="J615" s="37">
        <v>0.05</v>
      </c>
      <c r="K615" s="37">
        <f t="shared" si="19"/>
        <v>34200</v>
      </c>
      <c r="L615" s="37" t="s">
        <v>53</v>
      </c>
      <c r="M615" s="37" t="s">
        <v>22</v>
      </c>
      <c r="N615" s="4" t="str">
        <f>IF(I615=_xlfn.XLOOKUP(F615,Lists!$D$2:$D$13,Lists!$E$2:$E$13,"Not Found"),"OK","Check Price")</f>
        <v>Check Price</v>
      </c>
    </row>
    <row r="616" spans="1:14" ht="15.5" hidden="1" thickTop="1" thickBot="1" x14ac:dyDescent="0.4">
      <c r="A616" s="36" t="str">
        <f t="shared" si="18"/>
        <v>ORD0615</v>
      </c>
      <c r="B616" s="34">
        <v>45348</v>
      </c>
      <c r="C616" s="38" t="s">
        <v>72</v>
      </c>
      <c r="D616" s="38" t="s">
        <v>42</v>
      </c>
      <c r="E616" s="38" t="s">
        <v>119</v>
      </c>
      <c r="F616" s="38" t="s">
        <v>31</v>
      </c>
      <c r="G616" s="38" t="s">
        <v>19</v>
      </c>
      <c r="H616" s="38">
        <v>7</v>
      </c>
      <c r="I616" s="38">
        <v>12000</v>
      </c>
      <c r="J616" s="38">
        <v>0.1</v>
      </c>
      <c r="K616" s="38">
        <f t="shared" si="19"/>
        <v>75600</v>
      </c>
      <c r="L616" s="38" t="s">
        <v>44</v>
      </c>
      <c r="M616" s="38" t="s">
        <v>33</v>
      </c>
      <c r="N616" s="4" t="str">
        <f>IF(I616=_xlfn.XLOOKUP(F616,Lists!$D$2:$D$13,Lists!$E$2:$E$13,"Not Found"),"OK","Check Price")</f>
        <v>Check Price</v>
      </c>
    </row>
    <row r="617" spans="1:14" ht="15.5" hidden="1" thickTop="1" thickBot="1" x14ac:dyDescent="0.4">
      <c r="A617" s="36" t="str">
        <f t="shared" si="18"/>
        <v>ORD0616</v>
      </c>
      <c r="B617" s="34">
        <v>46013</v>
      </c>
      <c r="C617" s="37" t="s">
        <v>70</v>
      </c>
      <c r="D617" s="37" t="s">
        <v>54</v>
      </c>
      <c r="E617" s="37" t="s">
        <v>119</v>
      </c>
      <c r="F617" s="37" t="s">
        <v>49</v>
      </c>
      <c r="G617" s="37" t="s">
        <v>19</v>
      </c>
      <c r="H617" s="37">
        <v>5</v>
      </c>
      <c r="I617" s="37">
        <v>350</v>
      </c>
      <c r="J617" s="37">
        <v>0.1</v>
      </c>
      <c r="K617" s="37">
        <f t="shared" si="19"/>
        <v>1575</v>
      </c>
      <c r="L617" s="37" t="s">
        <v>44</v>
      </c>
      <c r="M617" s="37" t="s">
        <v>38</v>
      </c>
      <c r="N617" s="4" t="str">
        <f>IF(I617=_xlfn.XLOOKUP(F617,Lists!$D$2:$D$13,Lists!$E$2:$E$13,"Not Found"),"OK","Check Price")</f>
        <v>OK</v>
      </c>
    </row>
    <row r="618" spans="1:14" ht="15.5" hidden="1" thickTop="1" thickBot="1" x14ac:dyDescent="0.4">
      <c r="A618" s="36" t="str">
        <f t="shared" si="18"/>
        <v>ORD0617</v>
      </c>
      <c r="B618" s="34">
        <v>45945</v>
      </c>
      <c r="C618" s="38" t="s">
        <v>76</v>
      </c>
      <c r="D618" s="38" t="s">
        <v>28</v>
      </c>
      <c r="E618" s="38" t="s">
        <v>29</v>
      </c>
      <c r="F618" s="38" t="s">
        <v>52</v>
      </c>
      <c r="G618" s="38" t="s">
        <v>30</v>
      </c>
      <c r="H618" s="38">
        <v>1</v>
      </c>
      <c r="I618" s="38">
        <v>85000</v>
      </c>
      <c r="J618" s="38">
        <v>0.05</v>
      </c>
      <c r="K618" s="38">
        <f t="shared" si="19"/>
        <v>80750</v>
      </c>
      <c r="L618" s="38" t="s">
        <v>37</v>
      </c>
      <c r="M618" s="38" t="s">
        <v>38</v>
      </c>
      <c r="N618" s="4" t="str">
        <f>IF(I618=_xlfn.XLOOKUP(F618,Lists!$D$2:$D$13,Lists!$E$2:$E$13,"Not Found"),"OK","Check Price")</f>
        <v>Check Price</v>
      </c>
    </row>
    <row r="619" spans="1:14" ht="15.5" thickTop="1" thickBot="1" x14ac:dyDescent="0.4">
      <c r="A619" s="36" t="str">
        <f t="shared" si="18"/>
        <v>ORD0618</v>
      </c>
      <c r="B619" s="34">
        <v>45544</v>
      </c>
      <c r="C619" s="37" t="s">
        <v>61</v>
      </c>
      <c r="D619" s="37" t="s">
        <v>39</v>
      </c>
      <c r="E619" s="37" t="s">
        <v>29</v>
      </c>
      <c r="F619" s="37" t="s">
        <v>20</v>
      </c>
      <c r="G619" s="35" t="str">
        <f>_xlfn.XLOOKUP(F619,Lists!$J$2:$J$13,Lists!$K$2:$K$13,"Not Found")</f>
        <v>Electronics</v>
      </c>
      <c r="H619" s="37">
        <v>9</v>
      </c>
      <c r="I619" s="35">
        <f>_xlfn.XLOOKUP(F619,Lists!$D$2:$D$13,Lists!$E$2:$E$13,"Not Found")</f>
        <v>85000</v>
      </c>
      <c r="J619" s="47">
        <v>0.2</v>
      </c>
      <c r="K619" s="35">
        <f>H619*I619*(1-J619)</f>
        <v>612000</v>
      </c>
      <c r="L619" s="37" t="s">
        <v>21</v>
      </c>
      <c r="M619" s="37" t="s">
        <v>27</v>
      </c>
      <c r="N619" s="4" t="str">
        <f>IF(I619=_xlfn.XLOOKUP(F619,Lists!$D$2:$D$13,Lists!$E$2:$E$13,"Not Found"),"OK","Check Price")</f>
        <v>OK</v>
      </c>
    </row>
    <row r="620" spans="1:14" ht="15.5" hidden="1" thickTop="1" thickBot="1" x14ac:dyDescent="0.4">
      <c r="A620" s="36" t="str">
        <f t="shared" si="18"/>
        <v>ORD0619</v>
      </c>
      <c r="B620" s="34">
        <v>45983</v>
      </c>
      <c r="C620" s="38" t="s">
        <v>61</v>
      </c>
      <c r="D620" s="38" t="s">
        <v>45</v>
      </c>
      <c r="E620" s="38" t="s">
        <v>18</v>
      </c>
      <c r="F620" s="38" t="s">
        <v>57</v>
      </c>
      <c r="G620" s="38" t="s">
        <v>24</v>
      </c>
      <c r="H620" s="38">
        <v>1</v>
      </c>
      <c r="I620" s="38">
        <v>2000</v>
      </c>
      <c r="J620" s="38">
        <v>0.2</v>
      </c>
      <c r="K620" s="38">
        <f t="shared" si="19"/>
        <v>1600</v>
      </c>
      <c r="L620" s="38" t="s">
        <v>21</v>
      </c>
      <c r="M620" s="38" t="s">
        <v>22</v>
      </c>
      <c r="N620" s="4" t="str">
        <f>IF(I620=_xlfn.XLOOKUP(F620,Lists!$D$2:$D$13,Lists!$E$2:$E$13,"Not Found"),"OK","Check Price")</f>
        <v>OK</v>
      </c>
    </row>
    <row r="621" spans="1:14" ht="15.5" hidden="1" thickTop="1" thickBot="1" x14ac:dyDescent="0.4">
      <c r="A621" s="36" t="str">
        <f t="shared" si="18"/>
        <v>ORD0620</v>
      </c>
      <c r="B621" s="34">
        <v>45942</v>
      </c>
      <c r="C621" s="37" t="s">
        <v>75</v>
      </c>
      <c r="D621" s="37" t="s">
        <v>42</v>
      </c>
      <c r="E621" s="37" t="s">
        <v>35</v>
      </c>
      <c r="F621" s="37" t="s">
        <v>52</v>
      </c>
      <c r="G621" s="37" t="s">
        <v>24</v>
      </c>
      <c r="H621" s="37">
        <v>1</v>
      </c>
      <c r="I621" s="37">
        <v>30000</v>
      </c>
      <c r="J621" s="37">
        <v>0.25</v>
      </c>
      <c r="K621" s="37">
        <f t="shared" si="19"/>
        <v>22500</v>
      </c>
      <c r="L621" s="37" t="s">
        <v>47</v>
      </c>
      <c r="M621" s="37" t="s">
        <v>27</v>
      </c>
      <c r="N621" s="4" t="str">
        <f>IF(I621=_xlfn.XLOOKUP(F621,Lists!$D$2:$D$13,Lists!$E$2:$E$13,"Not Found"),"OK","Check Price")</f>
        <v>Check Price</v>
      </c>
    </row>
    <row r="622" spans="1:14" ht="15.5" thickTop="1" thickBot="1" x14ac:dyDescent="0.4">
      <c r="A622" s="36" t="str">
        <f t="shared" si="18"/>
        <v>ORD0621</v>
      </c>
      <c r="B622" s="34">
        <v>45660</v>
      </c>
      <c r="C622" s="38" t="s">
        <v>71</v>
      </c>
      <c r="D622" s="38" t="s">
        <v>39</v>
      </c>
      <c r="E622" s="38" t="s">
        <v>80</v>
      </c>
      <c r="F622" s="38" t="s">
        <v>46</v>
      </c>
      <c r="G622" s="35" t="str">
        <f>_xlfn.XLOOKUP(F622,Lists!$J$2:$J$13,Lists!$K$2:$K$13,"Not Found")</f>
        <v>Furniture</v>
      </c>
      <c r="H622" s="38">
        <v>7</v>
      </c>
      <c r="I622" s="35">
        <f>_xlfn.XLOOKUP(F622,Lists!$D$2:$D$13,Lists!$E$2:$E$13,"Not Found")</f>
        <v>22000</v>
      </c>
      <c r="J622" s="48">
        <v>0.1</v>
      </c>
      <c r="K622" s="35">
        <f>H622*I622*(1-J622)</f>
        <v>138600</v>
      </c>
      <c r="L622" s="38" t="s">
        <v>44</v>
      </c>
      <c r="M622" s="38" t="s">
        <v>33</v>
      </c>
      <c r="N622" s="4" t="str">
        <f>IF(I622=_xlfn.XLOOKUP(F622,Lists!$D$2:$D$13,Lists!$E$2:$E$13,"Not Found"),"OK","Check Price")</f>
        <v>OK</v>
      </c>
    </row>
    <row r="623" spans="1:14" ht="15.5" hidden="1" thickTop="1" thickBot="1" x14ac:dyDescent="0.4">
      <c r="A623" s="36" t="str">
        <f t="shared" si="18"/>
        <v>ORD0622</v>
      </c>
      <c r="B623" s="34">
        <v>45622</v>
      </c>
      <c r="C623" s="37" t="s">
        <v>71</v>
      </c>
      <c r="D623" s="37" t="s">
        <v>28</v>
      </c>
      <c r="E623" s="37" t="s">
        <v>35</v>
      </c>
      <c r="F623" s="37" t="s">
        <v>43</v>
      </c>
      <c r="G623" s="37" t="s">
        <v>24</v>
      </c>
      <c r="H623" s="37">
        <v>7</v>
      </c>
      <c r="I623" s="37">
        <v>22000</v>
      </c>
      <c r="J623" s="37">
        <v>0.05</v>
      </c>
      <c r="K623" s="37">
        <f t="shared" si="19"/>
        <v>146300</v>
      </c>
      <c r="L623" s="37" t="s">
        <v>37</v>
      </c>
      <c r="M623" s="37" t="s">
        <v>33</v>
      </c>
      <c r="N623" s="4" t="str">
        <f>IF(I623=_xlfn.XLOOKUP(F623,Lists!$D$2:$D$13,Lists!$E$2:$E$13,"Not Found"),"OK","Check Price")</f>
        <v>Check Price</v>
      </c>
    </row>
    <row r="624" spans="1:14" ht="15.5" hidden="1" thickTop="1" thickBot="1" x14ac:dyDescent="0.4">
      <c r="A624" s="36" t="str">
        <f t="shared" si="18"/>
        <v>ORD0623</v>
      </c>
      <c r="B624" s="34">
        <v>45364</v>
      </c>
      <c r="C624" s="38" t="s">
        <v>75</v>
      </c>
      <c r="D624" s="38" t="s">
        <v>45</v>
      </c>
      <c r="E624" s="38" t="s">
        <v>35</v>
      </c>
      <c r="F624" s="38" t="s">
        <v>58</v>
      </c>
      <c r="G624" s="38" t="s">
        <v>19</v>
      </c>
      <c r="H624" s="38">
        <v>5</v>
      </c>
      <c r="I624" s="38">
        <v>1500</v>
      </c>
      <c r="J624" s="38">
        <v>0.1</v>
      </c>
      <c r="K624" s="38">
        <f t="shared" si="19"/>
        <v>6750</v>
      </c>
      <c r="L624" s="38" t="s">
        <v>26</v>
      </c>
      <c r="M624" s="38" t="s">
        <v>22</v>
      </c>
      <c r="N624" s="4" t="str">
        <f>IF(I624=_xlfn.XLOOKUP(F624,Lists!$D$2:$D$13,Lists!$E$2:$E$13,"Not Found"),"OK","Check Price")</f>
        <v>Check Price</v>
      </c>
    </row>
    <row r="625" spans="1:14" ht="15.5" thickTop="1" thickBot="1" x14ac:dyDescent="0.4">
      <c r="A625" s="36" t="str">
        <f t="shared" si="18"/>
        <v>ORD0624</v>
      </c>
      <c r="B625" s="34">
        <v>45436</v>
      </c>
      <c r="C625" s="37" t="s">
        <v>64</v>
      </c>
      <c r="D625" s="37" t="s">
        <v>54</v>
      </c>
      <c r="E625" s="37" t="s">
        <v>18</v>
      </c>
      <c r="F625" s="37" t="s">
        <v>46</v>
      </c>
      <c r="G625" s="35" t="str">
        <f>_xlfn.XLOOKUP(F625,Lists!$J$2:$J$13,Lists!$K$2:$K$13,"Not Found")</f>
        <v>Furniture</v>
      </c>
      <c r="H625" s="37">
        <v>6</v>
      </c>
      <c r="I625" s="35">
        <f>_xlfn.XLOOKUP(F625,Lists!$D$2:$D$13,Lists!$E$2:$E$13,"Not Found")</f>
        <v>22000</v>
      </c>
      <c r="J625" s="47">
        <v>0.2</v>
      </c>
      <c r="K625" s="35">
        <f>H625*I625*(1-J625)</f>
        <v>105600</v>
      </c>
      <c r="L625" s="37" t="s">
        <v>53</v>
      </c>
      <c r="M625" s="37" t="s">
        <v>22</v>
      </c>
      <c r="N625" s="4" t="str">
        <f>IF(I625=_xlfn.XLOOKUP(F625,Lists!$D$2:$D$13,Lists!$E$2:$E$13,"Not Found"),"OK","Check Price")</f>
        <v>OK</v>
      </c>
    </row>
    <row r="626" spans="1:14" ht="15.5" hidden="1" thickTop="1" thickBot="1" x14ac:dyDescent="0.4">
      <c r="A626" s="36" t="str">
        <f t="shared" si="18"/>
        <v>ORD0625</v>
      </c>
      <c r="B626" s="34">
        <v>45539</v>
      </c>
      <c r="C626" s="38" t="s">
        <v>67</v>
      </c>
      <c r="D626" s="38" t="s">
        <v>34</v>
      </c>
      <c r="E626" s="38" t="s">
        <v>79</v>
      </c>
      <c r="F626" s="38" t="s">
        <v>57</v>
      </c>
      <c r="G626" s="38" t="s">
        <v>30</v>
      </c>
      <c r="H626" s="38">
        <v>2</v>
      </c>
      <c r="I626" s="38">
        <v>12000</v>
      </c>
      <c r="J626" s="38">
        <v>0.05</v>
      </c>
      <c r="K626" s="38">
        <f t="shared" si="19"/>
        <v>22800</v>
      </c>
      <c r="L626" s="38" t="s">
        <v>41</v>
      </c>
      <c r="M626" s="38" t="s">
        <v>22</v>
      </c>
      <c r="N626" s="4" t="str">
        <f>IF(I626=_xlfn.XLOOKUP(F626,Lists!$D$2:$D$13,Lists!$E$2:$E$13,"Not Found"),"OK","Check Price")</f>
        <v>Check Price</v>
      </c>
    </row>
    <row r="627" spans="1:14" ht="15.5" hidden="1" thickTop="1" thickBot="1" x14ac:dyDescent="0.4">
      <c r="A627" s="36" t="str">
        <f t="shared" si="18"/>
        <v>ORD0626</v>
      </c>
      <c r="B627" s="34">
        <v>45302</v>
      </c>
      <c r="C627" s="37" t="s">
        <v>61</v>
      </c>
      <c r="D627" s="37" t="s">
        <v>51</v>
      </c>
      <c r="E627" s="37" t="s">
        <v>119</v>
      </c>
      <c r="F627" s="37" t="s">
        <v>40</v>
      </c>
      <c r="G627" s="37" t="s">
        <v>19</v>
      </c>
      <c r="H627" s="37">
        <v>7</v>
      </c>
      <c r="I627" s="37">
        <v>4000</v>
      </c>
      <c r="J627" s="37">
        <v>0.1</v>
      </c>
      <c r="K627" s="37">
        <f t="shared" si="19"/>
        <v>25200</v>
      </c>
      <c r="L627" s="37" t="s">
        <v>41</v>
      </c>
      <c r="M627" s="37" t="s">
        <v>22</v>
      </c>
      <c r="N627" s="4" t="str">
        <f>IF(I627=_xlfn.XLOOKUP(F627,Lists!$D$2:$D$13,Lists!$E$2:$E$13,"Not Found"),"OK","Check Price")</f>
        <v>Check Price</v>
      </c>
    </row>
    <row r="628" spans="1:14" ht="15.5" thickTop="1" thickBot="1" x14ac:dyDescent="0.4">
      <c r="A628" s="36" t="str">
        <f t="shared" si="18"/>
        <v>ORD0627</v>
      </c>
      <c r="B628" s="34">
        <v>45713</v>
      </c>
      <c r="C628" s="38" t="s">
        <v>73</v>
      </c>
      <c r="D628" s="38" t="s">
        <v>28</v>
      </c>
      <c r="E628" s="38" t="s">
        <v>18</v>
      </c>
      <c r="F628" s="38" t="s">
        <v>46</v>
      </c>
      <c r="G628" s="35" t="str">
        <f>_xlfn.XLOOKUP(F628,Lists!$J$2:$J$13,Lists!$K$2:$K$13,"Not Found")</f>
        <v>Furniture</v>
      </c>
      <c r="H628" s="38">
        <v>5</v>
      </c>
      <c r="I628" s="35">
        <f>_xlfn.XLOOKUP(F628,Lists!$D$2:$D$13,Lists!$E$2:$E$13,"Not Found")</f>
        <v>22000</v>
      </c>
      <c r="J628" s="48">
        <v>0.15</v>
      </c>
      <c r="K628" s="35">
        <f>H628*I628*(1-J628)</f>
        <v>93500</v>
      </c>
      <c r="L628" s="38" t="s">
        <v>44</v>
      </c>
      <c r="M628" s="38" t="s">
        <v>22</v>
      </c>
      <c r="N628" s="4" t="str">
        <f>IF(I628=_xlfn.XLOOKUP(F628,Lists!$D$2:$D$13,Lists!$E$2:$E$13,"Not Found"),"OK","Check Price")</f>
        <v>OK</v>
      </c>
    </row>
    <row r="629" spans="1:14" ht="15.5" hidden="1" thickTop="1" thickBot="1" x14ac:dyDescent="0.4">
      <c r="A629" s="36" t="str">
        <f t="shared" si="18"/>
        <v>ORD0628</v>
      </c>
      <c r="B629" s="34">
        <v>45934</v>
      </c>
      <c r="C629" s="37" t="s">
        <v>63</v>
      </c>
      <c r="D629" s="37" t="s">
        <v>54</v>
      </c>
      <c r="E629" s="37" t="s">
        <v>119</v>
      </c>
      <c r="F629" s="37" t="s">
        <v>52</v>
      </c>
      <c r="G629" s="37" t="s">
        <v>19</v>
      </c>
      <c r="H629" s="37">
        <v>10</v>
      </c>
      <c r="I629" s="37">
        <v>1200</v>
      </c>
      <c r="J629" s="37">
        <v>0.05</v>
      </c>
      <c r="K629" s="37">
        <f t="shared" si="19"/>
        <v>11400</v>
      </c>
      <c r="L629" s="37" t="s">
        <v>53</v>
      </c>
      <c r="M629" s="37" t="s">
        <v>33</v>
      </c>
      <c r="N629" s="4" t="str">
        <f>IF(I629=_xlfn.XLOOKUP(F629,Lists!$D$2:$D$13,Lists!$E$2:$E$13,"Not Found"),"OK","Check Price")</f>
        <v>OK</v>
      </c>
    </row>
    <row r="630" spans="1:14" ht="15.5" hidden="1" thickTop="1" thickBot="1" x14ac:dyDescent="0.4">
      <c r="A630" s="36" t="str">
        <f t="shared" si="18"/>
        <v>ORD0629</v>
      </c>
      <c r="B630" s="34">
        <v>45335</v>
      </c>
      <c r="C630" s="38" t="s">
        <v>75</v>
      </c>
      <c r="D630" s="38" t="s">
        <v>23</v>
      </c>
      <c r="E630" s="38" t="s">
        <v>29</v>
      </c>
      <c r="F630" s="38" t="s">
        <v>40</v>
      </c>
      <c r="G630" s="38" t="s">
        <v>30</v>
      </c>
      <c r="H630" s="38">
        <v>7</v>
      </c>
      <c r="I630" s="38">
        <v>1500</v>
      </c>
      <c r="J630" s="38">
        <v>0.2</v>
      </c>
      <c r="K630" s="38">
        <f t="shared" si="19"/>
        <v>8400</v>
      </c>
      <c r="L630" s="38" t="s">
        <v>37</v>
      </c>
      <c r="M630" s="38" t="s">
        <v>38</v>
      </c>
      <c r="N630" s="4" t="str">
        <f>IF(I630=_xlfn.XLOOKUP(F630,Lists!$D$2:$D$13,Lists!$E$2:$E$13,"Not Found"),"OK","Check Price")</f>
        <v>Check Price</v>
      </c>
    </row>
    <row r="631" spans="1:14" ht="15.5" hidden="1" thickTop="1" thickBot="1" x14ac:dyDescent="0.4">
      <c r="A631" s="36" t="str">
        <f t="shared" si="18"/>
        <v>ORD0630</v>
      </c>
      <c r="B631" s="34">
        <v>45630</v>
      </c>
      <c r="C631" s="37" t="s">
        <v>74</v>
      </c>
      <c r="D631" s="37" t="s">
        <v>34</v>
      </c>
      <c r="E631" s="37" t="s">
        <v>35</v>
      </c>
      <c r="F631" s="37" t="s">
        <v>43</v>
      </c>
      <c r="G631" s="37" t="s">
        <v>24</v>
      </c>
      <c r="H631" s="37">
        <v>9</v>
      </c>
      <c r="I631" s="37">
        <v>5000</v>
      </c>
      <c r="J631" s="37">
        <v>0.2</v>
      </c>
      <c r="K631" s="37">
        <f t="shared" si="19"/>
        <v>36000</v>
      </c>
      <c r="L631" s="37" t="s">
        <v>47</v>
      </c>
      <c r="M631" s="37" t="s">
        <v>38</v>
      </c>
      <c r="N631" s="4" t="str">
        <f>IF(I631=_xlfn.XLOOKUP(F631,Lists!$D$2:$D$13,Lists!$E$2:$E$13,"Not Found"),"OK","Check Price")</f>
        <v>Check Price</v>
      </c>
    </row>
    <row r="632" spans="1:14" ht="15.5" hidden="1" thickTop="1" thickBot="1" x14ac:dyDescent="0.4">
      <c r="A632" s="36" t="str">
        <f t="shared" si="18"/>
        <v>ORD0631</v>
      </c>
      <c r="B632" s="34">
        <v>45397</v>
      </c>
      <c r="C632" s="38" t="s">
        <v>65</v>
      </c>
      <c r="D632" s="38" t="s">
        <v>39</v>
      </c>
      <c r="E632" s="38" t="s">
        <v>119</v>
      </c>
      <c r="F632" s="38" t="s">
        <v>25</v>
      </c>
      <c r="G632" s="38" t="s">
        <v>24</v>
      </c>
      <c r="H632" s="38">
        <v>7</v>
      </c>
      <c r="I632" s="38">
        <v>4000</v>
      </c>
      <c r="J632" s="38">
        <v>0.1</v>
      </c>
      <c r="K632" s="38">
        <f t="shared" si="19"/>
        <v>25200</v>
      </c>
      <c r="L632" s="38" t="s">
        <v>41</v>
      </c>
      <c r="M632" s="38" t="s">
        <v>27</v>
      </c>
      <c r="N632" s="4" t="str">
        <f>IF(I632=_xlfn.XLOOKUP(F632,Lists!$D$2:$D$13,Lists!$E$2:$E$13,"Not Found"),"OK","Check Price")</f>
        <v>Check Price</v>
      </c>
    </row>
    <row r="633" spans="1:14" ht="15.5" hidden="1" thickTop="1" thickBot="1" x14ac:dyDescent="0.4">
      <c r="A633" s="36" t="str">
        <f t="shared" si="18"/>
        <v>ORD0632</v>
      </c>
      <c r="B633" s="34">
        <v>45851</v>
      </c>
      <c r="C633" s="37" t="s">
        <v>76</v>
      </c>
      <c r="D633" s="37" t="s">
        <v>54</v>
      </c>
      <c r="E633" s="37" t="s">
        <v>80</v>
      </c>
      <c r="F633" s="37" t="s">
        <v>57</v>
      </c>
      <c r="G633" s="37" t="s">
        <v>24</v>
      </c>
      <c r="H633" s="37">
        <v>9</v>
      </c>
      <c r="I633" s="37">
        <v>12000</v>
      </c>
      <c r="J633" s="37">
        <v>0.05</v>
      </c>
      <c r="K633" s="37">
        <f t="shared" si="19"/>
        <v>102600</v>
      </c>
      <c r="L633" s="37" t="s">
        <v>37</v>
      </c>
      <c r="M633" s="37" t="s">
        <v>38</v>
      </c>
      <c r="N633" s="4" t="str">
        <f>IF(I633=_xlfn.XLOOKUP(F633,Lists!$D$2:$D$13,Lists!$E$2:$E$13,"Not Found"),"OK","Check Price")</f>
        <v>Check Price</v>
      </c>
    </row>
    <row r="634" spans="1:14" ht="15.5" hidden="1" thickTop="1" thickBot="1" x14ac:dyDescent="0.4">
      <c r="A634" s="36" t="str">
        <f t="shared" si="18"/>
        <v>ORD0633</v>
      </c>
      <c r="B634" s="34">
        <v>45701</v>
      </c>
      <c r="C634" s="38" t="s">
        <v>66</v>
      </c>
      <c r="D634" s="38" t="s">
        <v>17</v>
      </c>
      <c r="E634" s="38" t="s">
        <v>79</v>
      </c>
      <c r="F634" s="38" t="s">
        <v>57</v>
      </c>
      <c r="G634" s="38" t="s">
        <v>24</v>
      </c>
      <c r="H634" s="38">
        <v>3</v>
      </c>
      <c r="I634" s="38">
        <v>5000</v>
      </c>
      <c r="J634" s="38">
        <v>0.25</v>
      </c>
      <c r="K634" s="38">
        <f t="shared" si="19"/>
        <v>11250</v>
      </c>
      <c r="L634" s="38" t="s">
        <v>56</v>
      </c>
      <c r="M634" s="38" t="s">
        <v>22</v>
      </c>
      <c r="N634" s="4" t="str">
        <f>IF(I634=_xlfn.XLOOKUP(F634,Lists!$D$2:$D$13,Lists!$E$2:$E$13,"Not Found"),"OK","Check Price")</f>
        <v>Check Price</v>
      </c>
    </row>
    <row r="635" spans="1:14" ht="15.5" hidden="1" thickTop="1" thickBot="1" x14ac:dyDescent="0.4">
      <c r="A635" s="36" t="str">
        <f t="shared" si="18"/>
        <v>ORD0634</v>
      </c>
      <c r="B635" s="34">
        <v>45780</v>
      </c>
      <c r="C635" s="37" t="s">
        <v>65</v>
      </c>
      <c r="D635" s="37" t="s">
        <v>39</v>
      </c>
      <c r="E635" s="37" t="s">
        <v>80</v>
      </c>
      <c r="F635" s="37" t="s">
        <v>49</v>
      </c>
      <c r="G635" s="37" t="s">
        <v>24</v>
      </c>
      <c r="H635" s="37">
        <v>10</v>
      </c>
      <c r="I635" s="37">
        <v>1200</v>
      </c>
      <c r="J635" s="37">
        <v>0.1</v>
      </c>
      <c r="K635" s="37">
        <f t="shared" si="19"/>
        <v>10800</v>
      </c>
      <c r="L635" s="37" t="s">
        <v>41</v>
      </c>
      <c r="M635" s="37" t="s">
        <v>22</v>
      </c>
      <c r="N635" s="4" t="str">
        <f>IF(I635=_xlfn.XLOOKUP(F635,Lists!$D$2:$D$13,Lists!$E$2:$E$13,"Not Found"),"OK","Check Price")</f>
        <v>Check Price</v>
      </c>
    </row>
    <row r="636" spans="1:14" ht="15.5" hidden="1" thickTop="1" thickBot="1" x14ac:dyDescent="0.4">
      <c r="A636" s="36" t="str">
        <f t="shared" si="18"/>
        <v>ORD0635</v>
      </c>
      <c r="B636" s="34">
        <v>45606</v>
      </c>
      <c r="C636" s="38" t="s">
        <v>67</v>
      </c>
      <c r="D636" s="38" t="s">
        <v>42</v>
      </c>
      <c r="E636" s="38" t="s">
        <v>119</v>
      </c>
      <c r="F636" s="38" t="s">
        <v>31</v>
      </c>
      <c r="G636" s="38" t="s">
        <v>30</v>
      </c>
      <c r="H636" s="38">
        <v>7</v>
      </c>
      <c r="I636" s="38">
        <v>1500</v>
      </c>
      <c r="J636" s="38">
        <v>0.05</v>
      </c>
      <c r="K636" s="38">
        <f t="shared" si="19"/>
        <v>9975</v>
      </c>
      <c r="L636" s="38" t="s">
        <v>56</v>
      </c>
      <c r="M636" s="38" t="s">
        <v>33</v>
      </c>
      <c r="N636" s="4" t="str">
        <f>IF(I636=_xlfn.XLOOKUP(F636,Lists!$D$2:$D$13,Lists!$E$2:$E$13,"Not Found"),"OK","Check Price")</f>
        <v>Check Price</v>
      </c>
    </row>
    <row r="637" spans="1:14" ht="15.5" hidden="1" thickTop="1" thickBot="1" x14ac:dyDescent="0.4">
      <c r="A637" s="36" t="str">
        <f t="shared" si="18"/>
        <v>ORD0636</v>
      </c>
      <c r="B637" s="34">
        <v>45753</v>
      </c>
      <c r="C637" s="37" t="s">
        <v>65</v>
      </c>
      <c r="D637" s="37" t="s">
        <v>42</v>
      </c>
      <c r="E637" s="37" t="s">
        <v>29</v>
      </c>
      <c r="F637" s="37" t="s">
        <v>49</v>
      </c>
      <c r="G637" s="37" t="s">
        <v>19</v>
      </c>
      <c r="H637" s="37">
        <v>2</v>
      </c>
      <c r="I637" s="37">
        <v>2000</v>
      </c>
      <c r="J637" s="37">
        <v>0.05</v>
      </c>
      <c r="K637" s="37">
        <f t="shared" si="19"/>
        <v>3800</v>
      </c>
      <c r="L637" s="37" t="s">
        <v>53</v>
      </c>
      <c r="M637" s="37" t="s">
        <v>33</v>
      </c>
      <c r="N637" s="4" t="str">
        <f>IF(I637=_xlfn.XLOOKUP(F637,Lists!$D$2:$D$13,Lists!$E$2:$E$13,"Not Found"),"OK","Check Price")</f>
        <v>Check Price</v>
      </c>
    </row>
    <row r="638" spans="1:14" ht="15.5" hidden="1" thickTop="1" thickBot="1" x14ac:dyDescent="0.4">
      <c r="A638" s="36" t="str">
        <f t="shared" si="18"/>
        <v>ORD0637</v>
      </c>
      <c r="B638" s="34">
        <v>45721</v>
      </c>
      <c r="C638" s="38" t="s">
        <v>74</v>
      </c>
      <c r="D638" s="38" t="s">
        <v>23</v>
      </c>
      <c r="E638" s="38" t="s">
        <v>18</v>
      </c>
      <c r="F638" s="38" t="s">
        <v>57</v>
      </c>
      <c r="G638" s="38" t="s">
        <v>24</v>
      </c>
      <c r="H638" s="38">
        <v>2</v>
      </c>
      <c r="I638" s="38">
        <v>1200</v>
      </c>
      <c r="J638" s="38">
        <v>0.1</v>
      </c>
      <c r="K638" s="38">
        <f t="shared" si="19"/>
        <v>2160</v>
      </c>
      <c r="L638" s="38" t="s">
        <v>26</v>
      </c>
      <c r="M638" s="38" t="s">
        <v>33</v>
      </c>
      <c r="N638" s="4" t="str">
        <f>IF(I638=_xlfn.XLOOKUP(F638,Lists!$D$2:$D$13,Lists!$E$2:$E$13,"Not Found"),"OK","Check Price")</f>
        <v>Check Price</v>
      </c>
    </row>
    <row r="639" spans="1:14" ht="15.5" hidden="1" thickTop="1" thickBot="1" x14ac:dyDescent="0.4">
      <c r="A639" s="36" t="str">
        <f t="shared" si="18"/>
        <v>ORD0638</v>
      </c>
      <c r="B639" s="34">
        <v>45721</v>
      </c>
      <c r="C639" s="37" t="s">
        <v>72</v>
      </c>
      <c r="D639" s="37" t="s">
        <v>39</v>
      </c>
      <c r="E639" s="37" t="s">
        <v>35</v>
      </c>
      <c r="F639" s="37" t="s">
        <v>36</v>
      </c>
      <c r="G639" s="37" t="s">
        <v>30</v>
      </c>
      <c r="H639" s="37">
        <v>10</v>
      </c>
      <c r="I639" s="37">
        <v>12000</v>
      </c>
      <c r="J639" s="37">
        <v>0.05</v>
      </c>
      <c r="K639" s="37">
        <f t="shared" si="19"/>
        <v>114000</v>
      </c>
      <c r="L639" s="37" t="s">
        <v>21</v>
      </c>
      <c r="M639" s="37" t="s">
        <v>38</v>
      </c>
      <c r="N639" s="4" t="str">
        <f>IF(I639=_xlfn.XLOOKUP(F639,Lists!$D$2:$D$13,Lists!$E$2:$E$13,"Not Found"),"OK","Check Price")</f>
        <v>Check Price</v>
      </c>
    </row>
    <row r="640" spans="1:14" ht="15.5" hidden="1" thickTop="1" thickBot="1" x14ac:dyDescent="0.4">
      <c r="A640" s="36" t="str">
        <f t="shared" si="18"/>
        <v>ORD0639</v>
      </c>
      <c r="B640" s="34">
        <v>45666</v>
      </c>
      <c r="C640" s="38" t="s">
        <v>68</v>
      </c>
      <c r="D640" s="38" t="s">
        <v>54</v>
      </c>
      <c r="E640" s="38" t="s">
        <v>80</v>
      </c>
      <c r="F640" s="38" t="s">
        <v>43</v>
      </c>
      <c r="G640" s="38" t="s">
        <v>24</v>
      </c>
      <c r="H640" s="38">
        <v>4</v>
      </c>
      <c r="I640" s="38">
        <v>1500</v>
      </c>
      <c r="J640" s="38">
        <v>0.05</v>
      </c>
      <c r="K640" s="38">
        <f t="shared" si="19"/>
        <v>5700</v>
      </c>
      <c r="L640" s="38" t="s">
        <v>53</v>
      </c>
      <c r="M640" s="38" t="s">
        <v>33</v>
      </c>
      <c r="N640" s="4" t="str">
        <f>IF(I640=_xlfn.XLOOKUP(F640,Lists!$D$2:$D$13,Lists!$E$2:$E$13,"Not Found"),"OK","Check Price")</f>
        <v>Check Price</v>
      </c>
    </row>
    <row r="641" spans="1:14" ht="15.5" hidden="1" thickTop="1" thickBot="1" x14ac:dyDescent="0.4">
      <c r="A641" s="36" t="str">
        <f t="shared" si="18"/>
        <v>ORD0640</v>
      </c>
      <c r="B641" s="34">
        <v>45661</v>
      </c>
      <c r="C641" s="37" t="s">
        <v>71</v>
      </c>
      <c r="D641" s="37" t="s">
        <v>23</v>
      </c>
      <c r="E641" s="37" t="s">
        <v>35</v>
      </c>
      <c r="F641" s="37" t="s">
        <v>40</v>
      </c>
      <c r="G641" s="37" t="s">
        <v>19</v>
      </c>
      <c r="H641" s="37">
        <v>7</v>
      </c>
      <c r="I641" s="37">
        <v>2500</v>
      </c>
      <c r="J641" s="37">
        <v>0.25</v>
      </c>
      <c r="K641" s="37">
        <f t="shared" si="19"/>
        <v>13125</v>
      </c>
      <c r="L641" s="37" t="s">
        <v>37</v>
      </c>
      <c r="M641" s="37" t="s">
        <v>27</v>
      </c>
      <c r="N641" s="4" t="str">
        <f>IF(I641=_xlfn.XLOOKUP(F641,Lists!$D$2:$D$13,Lists!$E$2:$E$13,"Not Found"),"OK","Check Price")</f>
        <v>Check Price</v>
      </c>
    </row>
    <row r="642" spans="1:14" ht="15.5" thickTop="1" thickBot="1" x14ac:dyDescent="0.4">
      <c r="A642" s="36" t="str">
        <f t="shared" si="18"/>
        <v>ORD0641</v>
      </c>
      <c r="B642" s="34">
        <v>45848</v>
      </c>
      <c r="C642" s="38" t="s">
        <v>77</v>
      </c>
      <c r="D642" s="38" t="s">
        <v>23</v>
      </c>
      <c r="E642" s="38" t="s">
        <v>79</v>
      </c>
      <c r="F642" s="38" t="s">
        <v>46</v>
      </c>
      <c r="G642" s="35" t="str">
        <f>_xlfn.XLOOKUP(F642,Lists!$J$2:$J$13,Lists!$K$2:$K$13,"Not Found")</f>
        <v>Furniture</v>
      </c>
      <c r="H642" s="38">
        <v>10</v>
      </c>
      <c r="I642" s="35">
        <f>_xlfn.XLOOKUP(F642,Lists!$D$2:$D$13,Lists!$E$2:$E$13,"Not Found")</f>
        <v>22000</v>
      </c>
      <c r="J642" s="48">
        <v>0.25</v>
      </c>
      <c r="K642" s="35">
        <f>H642*I642*(1-J642)</f>
        <v>165000</v>
      </c>
      <c r="L642" s="38" t="s">
        <v>41</v>
      </c>
      <c r="M642" s="38" t="s">
        <v>22</v>
      </c>
      <c r="N642" s="4" t="str">
        <f>IF(I642=_xlfn.XLOOKUP(F642,Lists!$D$2:$D$13,Lists!$E$2:$E$13,"Not Found"),"OK","Check Price")</f>
        <v>OK</v>
      </c>
    </row>
    <row r="643" spans="1:14" ht="15.5" hidden="1" thickTop="1" thickBot="1" x14ac:dyDescent="0.4">
      <c r="A643" s="36" t="str">
        <f t="shared" ref="A643:A706" si="20">"ORD"&amp;TEXT(ROW()-1,"0000")</f>
        <v>ORD0642</v>
      </c>
      <c r="B643" s="34">
        <v>45966</v>
      </c>
      <c r="C643" s="37" t="s">
        <v>70</v>
      </c>
      <c r="D643" s="37" t="s">
        <v>45</v>
      </c>
      <c r="E643" s="37" t="s">
        <v>79</v>
      </c>
      <c r="F643" s="37" t="s">
        <v>36</v>
      </c>
      <c r="G643" s="37" t="s">
        <v>24</v>
      </c>
      <c r="H643" s="37">
        <v>10</v>
      </c>
      <c r="I643" s="37">
        <v>5000</v>
      </c>
      <c r="J643" s="37">
        <v>0.25</v>
      </c>
      <c r="K643" s="37">
        <f t="shared" ref="K643:K706" si="21">H643*I643*(1-J643)</f>
        <v>37500</v>
      </c>
      <c r="L643" s="37" t="s">
        <v>53</v>
      </c>
      <c r="M643" s="37" t="s">
        <v>33</v>
      </c>
      <c r="N643" s="4" t="str">
        <f>IF(I643=_xlfn.XLOOKUP(F643,Lists!$D$2:$D$13,Lists!$E$2:$E$13,"Not Found"),"OK","Check Price")</f>
        <v>Check Price</v>
      </c>
    </row>
    <row r="644" spans="1:14" ht="15.5" hidden="1" thickTop="1" thickBot="1" x14ac:dyDescent="0.4">
      <c r="A644" s="36" t="str">
        <f t="shared" si="20"/>
        <v>ORD0643</v>
      </c>
      <c r="B644" s="34">
        <v>45660</v>
      </c>
      <c r="C644" s="38" t="s">
        <v>75</v>
      </c>
      <c r="D644" s="38" t="s">
        <v>28</v>
      </c>
      <c r="E644" s="38" t="s">
        <v>79</v>
      </c>
      <c r="F644" s="38" t="s">
        <v>49</v>
      </c>
      <c r="G644" s="38" t="s">
        <v>19</v>
      </c>
      <c r="H644" s="38">
        <v>7</v>
      </c>
      <c r="I644" s="38">
        <v>12000</v>
      </c>
      <c r="J644" s="38">
        <v>0.15</v>
      </c>
      <c r="K644" s="38">
        <f t="shared" si="21"/>
        <v>71400</v>
      </c>
      <c r="L644" s="38" t="s">
        <v>47</v>
      </c>
      <c r="M644" s="38" t="s">
        <v>22</v>
      </c>
      <c r="N644" s="4" t="str">
        <f>IF(I644=_xlfn.XLOOKUP(F644,Lists!$D$2:$D$13,Lists!$E$2:$E$13,"Not Found"),"OK","Check Price")</f>
        <v>Check Price</v>
      </c>
    </row>
    <row r="645" spans="1:14" ht="15.5" thickTop="1" thickBot="1" x14ac:dyDescent="0.4">
      <c r="A645" s="36" t="str">
        <f t="shared" si="20"/>
        <v>ORD0644</v>
      </c>
      <c r="B645" s="34">
        <v>45950</v>
      </c>
      <c r="C645" s="37" t="s">
        <v>71</v>
      </c>
      <c r="D645" s="37" t="s">
        <v>51</v>
      </c>
      <c r="E645" s="37" t="s">
        <v>80</v>
      </c>
      <c r="F645" s="37" t="s">
        <v>55</v>
      </c>
      <c r="G645" s="35" t="str">
        <f>_xlfn.XLOOKUP(F645,Lists!$J$2:$J$13,Lists!$K$2:$K$13,"Not Found")</f>
        <v>Office Supplies</v>
      </c>
      <c r="H645" s="37">
        <v>6</v>
      </c>
      <c r="I645" s="35">
        <f>_xlfn.XLOOKUP(F645,Lists!$D$2:$D$13,Lists!$E$2:$E$13,"Not Found")</f>
        <v>1500</v>
      </c>
      <c r="J645" s="47">
        <v>0.15</v>
      </c>
      <c r="K645" s="35">
        <f>H645*I645*(1-J645)</f>
        <v>7650</v>
      </c>
      <c r="L645" s="37" t="s">
        <v>53</v>
      </c>
      <c r="M645" s="37" t="s">
        <v>38</v>
      </c>
      <c r="N645" s="4" t="str">
        <f>IF(I645=_xlfn.XLOOKUP(F645,Lists!$D$2:$D$13,Lists!$E$2:$E$13,"Not Found"),"OK","Check Price")</f>
        <v>OK</v>
      </c>
    </row>
    <row r="646" spans="1:14" ht="15.5" hidden="1" thickTop="1" thickBot="1" x14ac:dyDescent="0.4">
      <c r="A646" s="36" t="str">
        <f t="shared" si="20"/>
        <v>ORD0645</v>
      </c>
      <c r="B646" s="34">
        <v>45498</v>
      </c>
      <c r="C646" s="38" t="s">
        <v>74</v>
      </c>
      <c r="D646" s="38" t="s">
        <v>54</v>
      </c>
      <c r="E646" s="38" t="s">
        <v>119</v>
      </c>
      <c r="F646" s="38" t="s">
        <v>57</v>
      </c>
      <c r="G646" s="38" t="s">
        <v>19</v>
      </c>
      <c r="H646" s="38">
        <v>2</v>
      </c>
      <c r="I646" s="38">
        <v>5000</v>
      </c>
      <c r="J646" s="38">
        <v>0.2</v>
      </c>
      <c r="K646" s="38">
        <f t="shared" si="21"/>
        <v>8000</v>
      </c>
      <c r="L646" s="38" t="s">
        <v>47</v>
      </c>
      <c r="M646" s="38" t="s">
        <v>38</v>
      </c>
      <c r="N646" s="4" t="str">
        <f>IF(I646=_xlfn.XLOOKUP(F646,Lists!$D$2:$D$13,Lists!$E$2:$E$13,"Not Found"),"OK","Check Price")</f>
        <v>Check Price</v>
      </c>
    </row>
    <row r="647" spans="1:14" ht="15.5" hidden="1" thickTop="1" thickBot="1" x14ac:dyDescent="0.4">
      <c r="A647" s="36" t="str">
        <f t="shared" si="20"/>
        <v>ORD0646</v>
      </c>
      <c r="B647" s="34">
        <v>45647</v>
      </c>
      <c r="C647" s="37" t="s">
        <v>78</v>
      </c>
      <c r="D647" s="37" t="s">
        <v>48</v>
      </c>
      <c r="E647" s="37" t="s">
        <v>79</v>
      </c>
      <c r="F647" s="37" t="s">
        <v>31</v>
      </c>
      <c r="G647" s="37" t="s">
        <v>30</v>
      </c>
      <c r="H647" s="37">
        <v>10</v>
      </c>
      <c r="I647" s="37">
        <v>1500</v>
      </c>
      <c r="J647" s="37">
        <v>0.2</v>
      </c>
      <c r="K647" s="37">
        <f t="shared" si="21"/>
        <v>12000</v>
      </c>
      <c r="L647" s="37" t="s">
        <v>26</v>
      </c>
      <c r="M647" s="37" t="s">
        <v>38</v>
      </c>
      <c r="N647" s="4" t="str">
        <f>IF(I647=_xlfn.XLOOKUP(F647,Lists!$D$2:$D$13,Lists!$E$2:$E$13,"Not Found"),"OK","Check Price")</f>
        <v>Check Price</v>
      </c>
    </row>
    <row r="648" spans="1:14" ht="15.5" hidden="1" thickTop="1" thickBot="1" x14ac:dyDescent="0.4">
      <c r="A648" s="36" t="str">
        <f t="shared" si="20"/>
        <v>ORD0647</v>
      </c>
      <c r="B648" s="34">
        <v>45306</v>
      </c>
      <c r="C648" s="38" t="s">
        <v>74</v>
      </c>
      <c r="D648" s="38" t="s">
        <v>48</v>
      </c>
      <c r="E648" s="38" t="s">
        <v>79</v>
      </c>
      <c r="F648" s="38" t="s">
        <v>58</v>
      </c>
      <c r="G648" s="38" t="s">
        <v>30</v>
      </c>
      <c r="H648" s="38">
        <v>8</v>
      </c>
      <c r="I648" s="38">
        <v>2500</v>
      </c>
      <c r="J648" s="38">
        <v>0.05</v>
      </c>
      <c r="K648" s="38">
        <f t="shared" si="21"/>
        <v>19000</v>
      </c>
      <c r="L648" s="38" t="s">
        <v>32</v>
      </c>
      <c r="M648" s="38" t="s">
        <v>27</v>
      </c>
      <c r="N648" s="4" t="str">
        <f>IF(I648=_xlfn.XLOOKUP(F648,Lists!$D$2:$D$13,Lists!$E$2:$E$13,"Not Found"),"OK","Check Price")</f>
        <v>Check Price</v>
      </c>
    </row>
    <row r="649" spans="1:14" ht="15.5" hidden="1" thickTop="1" thickBot="1" x14ac:dyDescent="0.4">
      <c r="A649" s="36" t="str">
        <f t="shared" si="20"/>
        <v>ORD0648</v>
      </c>
      <c r="B649" s="34">
        <v>45399</v>
      </c>
      <c r="C649" s="37" t="s">
        <v>74</v>
      </c>
      <c r="D649" s="37" t="s">
        <v>28</v>
      </c>
      <c r="E649" s="37" t="s">
        <v>79</v>
      </c>
      <c r="F649" s="37" t="s">
        <v>52</v>
      </c>
      <c r="G649" s="37" t="s">
        <v>24</v>
      </c>
      <c r="H649" s="37">
        <v>8</v>
      </c>
      <c r="I649" s="37">
        <v>1200</v>
      </c>
      <c r="J649" s="37">
        <v>0.25</v>
      </c>
      <c r="K649" s="37">
        <f t="shared" si="21"/>
        <v>7200</v>
      </c>
      <c r="L649" s="37" t="s">
        <v>44</v>
      </c>
      <c r="M649" s="37" t="s">
        <v>33</v>
      </c>
      <c r="N649" s="4" t="str">
        <f>IF(I649=_xlfn.XLOOKUP(F649,Lists!$D$2:$D$13,Lists!$E$2:$E$13,"Not Found"),"OK","Check Price")</f>
        <v>OK</v>
      </c>
    </row>
    <row r="650" spans="1:14" ht="15.5" hidden="1" thickTop="1" thickBot="1" x14ac:dyDescent="0.4">
      <c r="A650" s="36" t="str">
        <f t="shared" si="20"/>
        <v>ORD0649</v>
      </c>
      <c r="B650" s="34">
        <v>45872</v>
      </c>
      <c r="C650" s="38" t="s">
        <v>60</v>
      </c>
      <c r="D650" s="38" t="s">
        <v>42</v>
      </c>
      <c r="E650" s="38" t="s">
        <v>29</v>
      </c>
      <c r="F650" s="38" t="s">
        <v>52</v>
      </c>
      <c r="G650" s="38" t="s">
        <v>30</v>
      </c>
      <c r="H650" s="38">
        <v>6</v>
      </c>
      <c r="I650" s="38">
        <v>28000</v>
      </c>
      <c r="J650" s="38">
        <v>0.05</v>
      </c>
      <c r="K650" s="38">
        <f t="shared" si="21"/>
        <v>159600</v>
      </c>
      <c r="L650" s="38" t="s">
        <v>44</v>
      </c>
      <c r="M650" s="38" t="s">
        <v>33</v>
      </c>
      <c r="N650" s="4" t="str">
        <f>IF(I650=_xlfn.XLOOKUP(F650,Lists!$D$2:$D$13,Lists!$E$2:$E$13,"Not Found"),"OK","Check Price")</f>
        <v>Check Price</v>
      </c>
    </row>
    <row r="651" spans="1:14" ht="15.5" hidden="1" thickTop="1" thickBot="1" x14ac:dyDescent="0.4">
      <c r="A651" s="36" t="str">
        <f t="shared" si="20"/>
        <v>ORD0650</v>
      </c>
      <c r="B651" s="34">
        <v>45312</v>
      </c>
      <c r="C651" s="37" t="s">
        <v>71</v>
      </c>
      <c r="D651" s="37" t="s">
        <v>34</v>
      </c>
      <c r="E651" s="37" t="s">
        <v>80</v>
      </c>
      <c r="F651" s="37" t="s">
        <v>52</v>
      </c>
      <c r="G651" s="37" t="s">
        <v>30</v>
      </c>
      <c r="H651" s="37">
        <v>2</v>
      </c>
      <c r="I651" s="37">
        <v>30000</v>
      </c>
      <c r="J651" s="37">
        <v>0.15</v>
      </c>
      <c r="K651" s="37">
        <f t="shared" si="21"/>
        <v>51000</v>
      </c>
      <c r="L651" s="37" t="s">
        <v>50</v>
      </c>
      <c r="M651" s="37" t="s">
        <v>22</v>
      </c>
      <c r="N651" s="4" t="str">
        <f>IF(I651=_xlfn.XLOOKUP(F651,Lists!$D$2:$D$13,Lists!$E$2:$E$13,"Not Found"),"OK","Check Price")</f>
        <v>Check Price</v>
      </c>
    </row>
    <row r="652" spans="1:14" ht="15.5" hidden="1" thickTop="1" thickBot="1" x14ac:dyDescent="0.4">
      <c r="A652" s="36" t="str">
        <f t="shared" si="20"/>
        <v>ORD0651</v>
      </c>
      <c r="B652" s="34">
        <v>45488</v>
      </c>
      <c r="C652" s="38" t="s">
        <v>60</v>
      </c>
      <c r="D652" s="38" t="s">
        <v>34</v>
      </c>
      <c r="E652" s="38" t="s">
        <v>18</v>
      </c>
      <c r="F652" s="38" t="s">
        <v>36</v>
      </c>
      <c r="G652" s="38" t="s">
        <v>30</v>
      </c>
      <c r="H652" s="38">
        <v>3</v>
      </c>
      <c r="I652" s="38">
        <v>22000</v>
      </c>
      <c r="J652" s="38">
        <v>0.1</v>
      </c>
      <c r="K652" s="38">
        <f t="shared" si="21"/>
        <v>59400</v>
      </c>
      <c r="L652" s="38" t="s">
        <v>21</v>
      </c>
      <c r="M652" s="38" t="s">
        <v>33</v>
      </c>
      <c r="N652" s="4" t="str">
        <f>IF(I652=_xlfn.XLOOKUP(F652,Lists!$D$2:$D$13,Lists!$E$2:$E$13,"Not Found"),"OK","Check Price")</f>
        <v>Check Price</v>
      </c>
    </row>
    <row r="653" spans="1:14" ht="15.5" hidden="1" thickTop="1" thickBot="1" x14ac:dyDescent="0.4">
      <c r="A653" s="36" t="str">
        <f t="shared" si="20"/>
        <v>ORD0652</v>
      </c>
      <c r="B653" s="34">
        <v>45437</v>
      </c>
      <c r="C653" s="37" t="s">
        <v>72</v>
      </c>
      <c r="D653" s="37" t="s">
        <v>23</v>
      </c>
      <c r="E653" s="37" t="s">
        <v>79</v>
      </c>
      <c r="F653" s="37" t="s">
        <v>31</v>
      </c>
      <c r="G653" s="37" t="s">
        <v>30</v>
      </c>
      <c r="H653" s="37">
        <v>2</v>
      </c>
      <c r="I653" s="37">
        <v>28000</v>
      </c>
      <c r="J653" s="37">
        <v>0.25</v>
      </c>
      <c r="K653" s="37">
        <f t="shared" si="21"/>
        <v>42000</v>
      </c>
      <c r="L653" s="37" t="s">
        <v>53</v>
      </c>
      <c r="M653" s="37" t="s">
        <v>38</v>
      </c>
      <c r="N653" s="4" t="str">
        <f>IF(I653=_xlfn.XLOOKUP(F653,Lists!$D$2:$D$13,Lists!$E$2:$E$13,"Not Found"),"OK","Check Price")</f>
        <v>Check Price</v>
      </c>
    </row>
    <row r="654" spans="1:14" ht="15.5" hidden="1" thickTop="1" thickBot="1" x14ac:dyDescent="0.4">
      <c r="A654" s="36" t="str">
        <f t="shared" si="20"/>
        <v>ORD0653</v>
      </c>
      <c r="B654" s="34">
        <v>45786</v>
      </c>
      <c r="C654" s="38" t="s">
        <v>77</v>
      </c>
      <c r="D654" s="38" t="s">
        <v>39</v>
      </c>
      <c r="E654" s="38" t="s">
        <v>79</v>
      </c>
      <c r="F654" s="38" t="s">
        <v>58</v>
      </c>
      <c r="G654" s="38" t="s">
        <v>24</v>
      </c>
      <c r="H654" s="38">
        <v>8</v>
      </c>
      <c r="I654" s="38">
        <v>4000</v>
      </c>
      <c r="J654" s="38">
        <v>0.15</v>
      </c>
      <c r="K654" s="38">
        <f t="shared" si="21"/>
        <v>27200</v>
      </c>
      <c r="L654" s="38" t="s">
        <v>26</v>
      </c>
      <c r="M654" s="38" t="s">
        <v>33</v>
      </c>
      <c r="N654" s="4" t="str">
        <f>IF(I654=_xlfn.XLOOKUP(F654,Lists!$D$2:$D$13,Lists!$E$2:$E$13,"Not Found"),"OK","Check Price")</f>
        <v>Check Price</v>
      </c>
    </row>
    <row r="655" spans="1:14" ht="15.5" hidden="1" thickTop="1" thickBot="1" x14ac:dyDescent="0.4">
      <c r="A655" s="36" t="str">
        <f t="shared" si="20"/>
        <v>ORD0654</v>
      </c>
      <c r="B655" s="34">
        <v>45405</v>
      </c>
      <c r="C655" s="37" t="s">
        <v>62</v>
      </c>
      <c r="D655" s="37" t="s">
        <v>17</v>
      </c>
      <c r="E655" s="37" t="s">
        <v>79</v>
      </c>
      <c r="F655" s="37" t="s">
        <v>25</v>
      </c>
      <c r="G655" s="37" t="s">
        <v>24</v>
      </c>
      <c r="H655" s="37">
        <v>8</v>
      </c>
      <c r="I655" s="37">
        <v>5000</v>
      </c>
      <c r="J655" s="37">
        <v>0.25</v>
      </c>
      <c r="K655" s="37">
        <f t="shared" si="21"/>
        <v>30000</v>
      </c>
      <c r="L655" s="37" t="s">
        <v>26</v>
      </c>
      <c r="M655" s="37" t="s">
        <v>22</v>
      </c>
      <c r="N655" s="4" t="str">
        <f>IF(I655=_xlfn.XLOOKUP(F655,Lists!$D$2:$D$13,Lists!$E$2:$E$13,"Not Found"),"OK","Check Price")</f>
        <v>Check Price</v>
      </c>
    </row>
    <row r="656" spans="1:14" ht="15.5" thickTop="1" thickBot="1" x14ac:dyDescent="0.4">
      <c r="A656" s="36" t="str">
        <f t="shared" si="20"/>
        <v>ORD0655</v>
      </c>
      <c r="B656" s="34">
        <v>46010</v>
      </c>
      <c r="C656" s="38" t="s">
        <v>64</v>
      </c>
      <c r="D656" s="38" t="s">
        <v>42</v>
      </c>
      <c r="E656" s="38" t="s">
        <v>18</v>
      </c>
      <c r="F656" s="38" t="s">
        <v>55</v>
      </c>
      <c r="G656" s="35" t="str">
        <f>_xlfn.XLOOKUP(F656,Lists!$J$2:$J$13,Lists!$K$2:$K$13,"Not Found")</f>
        <v>Office Supplies</v>
      </c>
      <c r="H656" s="38">
        <v>5</v>
      </c>
      <c r="I656" s="35">
        <f>_xlfn.XLOOKUP(F656,Lists!$D$2:$D$13,Lists!$E$2:$E$13,"Not Found")</f>
        <v>1500</v>
      </c>
      <c r="J656" s="48">
        <v>0.15</v>
      </c>
      <c r="K656" s="35">
        <f>H656*I656*(1-J656)</f>
        <v>6375</v>
      </c>
      <c r="L656" s="38" t="s">
        <v>56</v>
      </c>
      <c r="M656" s="38" t="s">
        <v>27</v>
      </c>
      <c r="N656" s="4" t="str">
        <f>IF(I656=_xlfn.XLOOKUP(F656,Lists!$D$2:$D$13,Lists!$E$2:$E$13,"Not Found"),"OK","Check Price")</f>
        <v>OK</v>
      </c>
    </row>
    <row r="657" spans="1:14" ht="15.5" hidden="1" thickTop="1" thickBot="1" x14ac:dyDescent="0.4">
      <c r="A657" s="36" t="str">
        <f t="shared" si="20"/>
        <v>ORD0656</v>
      </c>
      <c r="B657" s="34">
        <v>45701</v>
      </c>
      <c r="C657" s="37" t="s">
        <v>70</v>
      </c>
      <c r="D657" s="37" t="s">
        <v>34</v>
      </c>
      <c r="E657" s="37" t="s">
        <v>29</v>
      </c>
      <c r="F657" s="37" t="s">
        <v>43</v>
      </c>
      <c r="G657" s="37" t="s">
        <v>24</v>
      </c>
      <c r="H657" s="37">
        <v>10</v>
      </c>
      <c r="I657" s="37">
        <v>1200</v>
      </c>
      <c r="J657" s="37">
        <v>0.25</v>
      </c>
      <c r="K657" s="37">
        <f t="shared" si="21"/>
        <v>9000</v>
      </c>
      <c r="L657" s="37" t="s">
        <v>37</v>
      </c>
      <c r="M657" s="37" t="s">
        <v>38</v>
      </c>
      <c r="N657" s="4" t="str">
        <f>IF(I657=_xlfn.XLOOKUP(F657,Lists!$D$2:$D$13,Lists!$E$2:$E$13,"Not Found"),"OK","Check Price")</f>
        <v>Check Price</v>
      </c>
    </row>
    <row r="658" spans="1:14" ht="15.5" hidden="1" thickTop="1" thickBot="1" x14ac:dyDescent="0.4">
      <c r="A658" s="36" t="str">
        <f t="shared" si="20"/>
        <v>ORD0657</v>
      </c>
      <c r="B658" s="34">
        <v>45585</v>
      </c>
      <c r="C658" s="38" t="s">
        <v>74</v>
      </c>
      <c r="D658" s="38" t="s">
        <v>42</v>
      </c>
      <c r="E658" s="38" t="s">
        <v>35</v>
      </c>
      <c r="F658" s="38" t="s">
        <v>43</v>
      </c>
      <c r="G658" s="38" t="s">
        <v>19</v>
      </c>
      <c r="H658" s="38">
        <v>3</v>
      </c>
      <c r="I658" s="38">
        <v>2000</v>
      </c>
      <c r="J658" s="38">
        <v>0.05</v>
      </c>
      <c r="K658" s="38">
        <f t="shared" si="21"/>
        <v>5700</v>
      </c>
      <c r="L658" s="38" t="s">
        <v>44</v>
      </c>
      <c r="M658" s="38" t="s">
        <v>27</v>
      </c>
      <c r="N658" s="4" t="str">
        <f>IF(I658=_xlfn.XLOOKUP(F658,Lists!$D$2:$D$13,Lists!$E$2:$E$13,"Not Found"),"OK","Check Price")</f>
        <v>Check Price</v>
      </c>
    </row>
    <row r="659" spans="1:14" ht="15.5" hidden="1" thickTop="1" thickBot="1" x14ac:dyDescent="0.4">
      <c r="A659" s="36" t="str">
        <f t="shared" si="20"/>
        <v>ORD0658</v>
      </c>
      <c r="B659" s="34">
        <v>45966</v>
      </c>
      <c r="C659" s="37" t="s">
        <v>62</v>
      </c>
      <c r="D659" s="37" t="s">
        <v>28</v>
      </c>
      <c r="E659" s="37" t="s">
        <v>80</v>
      </c>
      <c r="F659" s="37" t="s">
        <v>49</v>
      </c>
      <c r="G659" s="37" t="s">
        <v>19</v>
      </c>
      <c r="H659" s="37">
        <v>10</v>
      </c>
      <c r="I659" s="37">
        <v>4000</v>
      </c>
      <c r="J659" s="37">
        <v>0.15</v>
      </c>
      <c r="K659" s="37">
        <f t="shared" si="21"/>
        <v>34000</v>
      </c>
      <c r="L659" s="37" t="s">
        <v>26</v>
      </c>
      <c r="M659" s="37" t="s">
        <v>22</v>
      </c>
      <c r="N659" s="4" t="str">
        <f>IF(I659=_xlfn.XLOOKUP(F659,Lists!$D$2:$D$13,Lists!$E$2:$E$13,"Not Found"),"OK","Check Price")</f>
        <v>Check Price</v>
      </c>
    </row>
    <row r="660" spans="1:14" ht="15.5" thickTop="1" thickBot="1" x14ac:dyDescent="0.4">
      <c r="A660" s="36" t="str">
        <f t="shared" si="20"/>
        <v>ORD0659</v>
      </c>
      <c r="B660" s="34">
        <v>45865</v>
      </c>
      <c r="C660" s="38" t="s">
        <v>61</v>
      </c>
      <c r="D660" s="38" t="s">
        <v>42</v>
      </c>
      <c r="E660" s="38" t="s">
        <v>79</v>
      </c>
      <c r="F660" s="38" t="s">
        <v>46</v>
      </c>
      <c r="G660" s="35" t="str">
        <f>_xlfn.XLOOKUP(F660,Lists!$J$2:$J$13,Lists!$K$2:$K$13,"Not Found")</f>
        <v>Furniture</v>
      </c>
      <c r="H660" s="38">
        <v>10</v>
      </c>
      <c r="I660" s="35">
        <f>_xlfn.XLOOKUP(F660,Lists!$D$2:$D$13,Lists!$E$2:$E$13,"Not Found")</f>
        <v>22000</v>
      </c>
      <c r="J660" s="48">
        <v>0.25</v>
      </c>
      <c r="K660" s="35">
        <f>H660*I660*(1-J660)</f>
        <v>165000</v>
      </c>
      <c r="L660" s="38" t="s">
        <v>32</v>
      </c>
      <c r="M660" s="38" t="s">
        <v>38</v>
      </c>
      <c r="N660" s="4" t="str">
        <f>IF(I660=_xlfn.XLOOKUP(F660,Lists!$D$2:$D$13,Lists!$E$2:$E$13,"Not Found"),"OK","Check Price")</f>
        <v>OK</v>
      </c>
    </row>
    <row r="661" spans="1:14" ht="15.5" hidden="1" thickTop="1" thickBot="1" x14ac:dyDescent="0.4">
      <c r="A661" s="36" t="str">
        <f t="shared" si="20"/>
        <v>ORD0660</v>
      </c>
      <c r="B661" s="34">
        <v>45747</v>
      </c>
      <c r="C661" s="37" t="s">
        <v>73</v>
      </c>
      <c r="D661" s="37" t="s">
        <v>48</v>
      </c>
      <c r="E661" s="37" t="s">
        <v>79</v>
      </c>
      <c r="F661" s="37" t="s">
        <v>40</v>
      </c>
      <c r="G661" s="37" t="s">
        <v>24</v>
      </c>
      <c r="H661" s="37">
        <v>1</v>
      </c>
      <c r="I661" s="37">
        <v>22000</v>
      </c>
      <c r="J661" s="37">
        <v>0.2</v>
      </c>
      <c r="K661" s="37">
        <f t="shared" si="21"/>
        <v>17600</v>
      </c>
      <c r="L661" s="37" t="s">
        <v>21</v>
      </c>
      <c r="M661" s="37" t="s">
        <v>27</v>
      </c>
      <c r="N661" s="4" t="str">
        <f>IF(I661=_xlfn.XLOOKUP(F661,Lists!$D$2:$D$13,Lists!$E$2:$E$13,"Not Found"),"OK","Check Price")</f>
        <v>Check Price</v>
      </c>
    </row>
    <row r="662" spans="1:14" ht="15.5" hidden="1" thickTop="1" thickBot="1" x14ac:dyDescent="0.4">
      <c r="A662" s="36" t="str">
        <f t="shared" si="20"/>
        <v>ORD0661</v>
      </c>
      <c r="B662" s="34">
        <v>45973</v>
      </c>
      <c r="C662" s="38" t="s">
        <v>78</v>
      </c>
      <c r="D662" s="38" t="s">
        <v>48</v>
      </c>
      <c r="E662" s="38" t="s">
        <v>80</v>
      </c>
      <c r="F662" s="38" t="s">
        <v>57</v>
      </c>
      <c r="G662" s="38" t="s">
        <v>30</v>
      </c>
      <c r="H662" s="38">
        <v>9</v>
      </c>
      <c r="I662" s="38">
        <v>350</v>
      </c>
      <c r="J662" s="38">
        <v>0.05</v>
      </c>
      <c r="K662" s="38">
        <f t="shared" si="21"/>
        <v>2992.5</v>
      </c>
      <c r="L662" s="38" t="s">
        <v>41</v>
      </c>
      <c r="M662" s="38" t="s">
        <v>38</v>
      </c>
      <c r="N662" s="4" t="str">
        <f>IF(I662=_xlfn.XLOOKUP(F662,Lists!$D$2:$D$13,Lists!$E$2:$E$13,"Not Found"),"OK","Check Price")</f>
        <v>Check Price</v>
      </c>
    </row>
    <row r="663" spans="1:14" ht="15.5" hidden="1" thickTop="1" thickBot="1" x14ac:dyDescent="0.4">
      <c r="A663" s="36" t="str">
        <f t="shared" si="20"/>
        <v>ORD0662</v>
      </c>
      <c r="B663" s="34">
        <v>45622</v>
      </c>
      <c r="C663" s="37" t="s">
        <v>68</v>
      </c>
      <c r="D663" s="37" t="s">
        <v>39</v>
      </c>
      <c r="E663" s="37" t="s">
        <v>35</v>
      </c>
      <c r="F663" s="37" t="s">
        <v>31</v>
      </c>
      <c r="G663" s="37" t="s">
        <v>30</v>
      </c>
      <c r="H663" s="37">
        <v>9</v>
      </c>
      <c r="I663" s="37">
        <v>30000</v>
      </c>
      <c r="J663" s="37">
        <v>0.05</v>
      </c>
      <c r="K663" s="37">
        <f t="shared" si="21"/>
        <v>256500</v>
      </c>
      <c r="L663" s="37" t="s">
        <v>21</v>
      </c>
      <c r="M663" s="37" t="s">
        <v>38</v>
      </c>
      <c r="N663" s="4" t="str">
        <f>IF(I663=_xlfn.XLOOKUP(F663,Lists!$D$2:$D$13,Lists!$E$2:$E$13,"Not Found"),"OK","Check Price")</f>
        <v>Check Price</v>
      </c>
    </row>
    <row r="664" spans="1:14" ht="15.5" hidden="1" thickTop="1" thickBot="1" x14ac:dyDescent="0.4">
      <c r="A664" s="36" t="str">
        <f t="shared" si="20"/>
        <v>ORD0663</v>
      </c>
      <c r="B664" s="34">
        <v>45640</v>
      </c>
      <c r="C664" s="38" t="s">
        <v>63</v>
      </c>
      <c r="D664" s="38" t="s">
        <v>51</v>
      </c>
      <c r="E664" s="38" t="s">
        <v>80</v>
      </c>
      <c r="F664" s="38" t="s">
        <v>36</v>
      </c>
      <c r="G664" s="38" t="s">
        <v>24</v>
      </c>
      <c r="H664" s="38">
        <v>10</v>
      </c>
      <c r="I664" s="38">
        <v>22000</v>
      </c>
      <c r="J664" s="38">
        <v>0.25</v>
      </c>
      <c r="K664" s="38">
        <f t="shared" si="21"/>
        <v>165000</v>
      </c>
      <c r="L664" s="38" t="s">
        <v>47</v>
      </c>
      <c r="M664" s="38" t="s">
        <v>38</v>
      </c>
      <c r="N664" s="4" t="str">
        <f>IF(I664=_xlfn.XLOOKUP(F664,Lists!$D$2:$D$13,Lists!$E$2:$E$13,"Not Found"),"OK","Check Price")</f>
        <v>Check Price</v>
      </c>
    </row>
    <row r="665" spans="1:14" ht="15.5" hidden="1" thickTop="1" thickBot="1" x14ac:dyDescent="0.4">
      <c r="A665" s="36" t="str">
        <f t="shared" si="20"/>
        <v>ORD0664</v>
      </c>
      <c r="B665" s="34">
        <v>45711</v>
      </c>
      <c r="C665" s="37" t="s">
        <v>60</v>
      </c>
      <c r="D665" s="37" t="s">
        <v>39</v>
      </c>
      <c r="E665" s="37" t="s">
        <v>35</v>
      </c>
      <c r="F665" s="37" t="s">
        <v>40</v>
      </c>
      <c r="G665" s="37" t="s">
        <v>24</v>
      </c>
      <c r="H665" s="37">
        <v>5</v>
      </c>
      <c r="I665" s="37">
        <v>12000</v>
      </c>
      <c r="J665" s="37">
        <v>0.1</v>
      </c>
      <c r="K665" s="37">
        <f t="shared" si="21"/>
        <v>54000</v>
      </c>
      <c r="L665" s="37" t="s">
        <v>53</v>
      </c>
      <c r="M665" s="37" t="s">
        <v>27</v>
      </c>
      <c r="N665" s="4" t="str">
        <f>IF(I665=_xlfn.XLOOKUP(F665,Lists!$D$2:$D$13,Lists!$E$2:$E$13,"Not Found"),"OK","Check Price")</f>
        <v>Check Price</v>
      </c>
    </row>
    <row r="666" spans="1:14" ht="15.5" thickTop="1" thickBot="1" x14ac:dyDescent="0.4">
      <c r="A666" s="36" t="str">
        <f t="shared" si="20"/>
        <v>ORD0665</v>
      </c>
      <c r="B666" s="34">
        <v>45577</v>
      </c>
      <c r="C666" s="38" t="s">
        <v>66</v>
      </c>
      <c r="D666" s="38" t="s">
        <v>23</v>
      </c>
      <c r="E666" s="38" t="s">
        <v>29</v>
      </c>
      <c r="F666" s="38" t="s">
        <v>46</v>
      </c>
      <c r="G666" s="35" t="str">
        <f>_xlfn.XLOOKUP(F666,Lists!$J$2:$J$13,Lists!$K$2:$K$13,"Not Found")</f>
        <v>Furniture</v>
      </c>
      <c r="H666" s="38">
        <v>2</v>
      </c>
      <c r="I666" s="35">
        <f>_xlfn.XLOOKUP(F666,Lists!$D$2:$D$13,Lists!$E$2:$E$13,"Not Found")</f>
        <v>22000</v>
      </c>
      <c r="J666" s="48">
        <v>0.2</v>
      </c>
      <c r="K666" s="35">
        <f t="shared" si="21"/>
        <v>35200</v>
      </c>
      <c r="L666" s="38" t="s">
        <v>47</v>
      </c>
      <c r="M666" s="38" t="s">
        <v>33</v>
      </c>
      <c r="N666" s="4" t="str">
        <f>IF(I666=_xlfn.XLOOKUP(F666,Lists!$D$2:$D$13,Lists!$E$2:$E$13,"Not Found"),"OK","Check Price")</f>
        <v>OK</v>
      </c>
    </row>
    <row r="667" spans="1:14" ht="15.5" thickTop="1" thickBot="1" x14ac:dyDescent="0.4">
      <c r="A667" s="36" t="str">
        <f t="shared" si="20"/>
        <v>ORD0666</v>
      </c>
      <c r="B667" s="34">
        <v>45756</v>
      </c>
      <c r="C667" s="37" t="s">
        <v>69</v>
      </c>
      <c r="D667" s="37" t="s">
        <v>23</v>
      </c>
      <c r="E667" s="37" t="s">
        <v>79</v>
      </c>
      <c r="F667" s="37" t="s">
        <v>46</v>
      </c>
      <c r="G667" s="35" t="str">
        <f>_xlfn.XLOOKUP(F667,Lists!$J$2:$J$13,Lists!$K$2:$K$13,"Not Found")</f>
        <v>Furniture</v>
      </c>
      <c r="H667" s="37">
        <v>7</v>
      </c>
      <c r="I667" s="35">
        <f>_xlfn.XLOOKUP(F667,Lists!$D$2:$D$13,Lists!$E$2:$E$13,"Not Found")</f>
        <v>22000</v>
      </c>
      <c r="J667" s="47">
        <v>0.1</v>
      </c>
      <c r="K667" s="35">
        <f t="shared" si="21"/>
        <v>138600</v>
      </c>
      <c r="L667" s="37" t="s">
        <v>32</v>
      </c>
      <c r="M667" s="37" t="s">
        <v>22</v>
      </c>
      <c r="N667" s="4" t="str">
        <f>IF(I667=_xlfn.XLOOKUP(F667,Lists!$D$2:$D$13,Lists!$E$2:$E$13,"Not Found"),"OK","Check Price")</f>
        <v>OK</v>
      </c>
    </row>
    <row r="668" spans="1:14" ht="15.5" hidden="1" thickTop="1" thickBot="1" x14ac:dyDescent="0.4">
      <c r="A668" s="36" t="str">
        <f t="shared" si="20"/>
        <v>ORD0667</v>
      </c>
      <c r="B668" s="34">
        <v>45626</v>
      </c>
      <c r="C668" s="38" t="s">
        <v>71</v>
      </c>
      <c r="D668" s="38" t="s">
        <v>17</v>
      </c>
      <c r="E668" s="38" t="s">
        <v>29</v>
      </c>
      <c r="F668" s="38" t="s">
        <v>52</v>
      </c>
      <c r="G668" s="38" t="s">
        <v>19</v>
      </c>
      <c r="H668" s="38">
        <v>3</v>
      </c>
      <c r="I668" s="38">
        <v>30000</v>
      </c>
      <c r="J668" s="38">
        <v>0.25</v>
      </c>
      <c r="K668" s="38">
        <f t="shared" si="21"/>
        <v>67500</v>
      </c>
      <c r="L668" s="38" t="s">
        <v>56</v>
      </c>
      <c r="M668" s="38" t="s">
        <v>33</v>
      </c>
      <c r="N668" s="4" t="str">
        <f>IF(I668=_xlfn.XLOOKUP(F668,Lists!$D$2:$D$13,Lists!$E$2:$E$13,"Not Found"),"OK","Check Price")</f>
        <v>Check Price</v>
      </c>
    </row>
    <row r="669" spans="1:14" ht="15.5" hidden="1" thickTop="1" thickBot="1" x14ac:dyDescent="0.4">
      <c r="A669" s="36" t="str">
        <f t="shared" si="20"/>
        <v>ORD0668</v>
      </c>
      <c r="B669" s="34">
        <v>45707</v>
      </c>
      <c r="C669" s="37" t="s">
        <v>72</v>
      </c>
      <c r="D669" s="37" t="s">
        <v>45</v>
      </c>
      <c r="E669" s="37" t="s">
        <v>80</v>
      </c>
      <c r="F669" s="37" t="s">
        <v>31</v>
      </c>
      <c r="G669" s="37" t="s">
        <v>30</v>
      </c>
      <c r="H669" s="37">
        <v>5</v>
      </c>
      <c r="I669" s="37">
        <v>22000</v>
      </c>
      <c r="J669" s="37">
        <v>0.1</v>
      </c>
      <c r="K669" s="37">
        <f t="shared" si="21"/>
        <v>99000</v>
      </c>
      <c r="L669" s="37" t="s">
        <v>56</v>
      </c>
      <c r="M669" s="37" t="s">
        <v>27</v>
      </c>
      <c r="N669" s="4" t="str">
        <f>IF(I669=_xlfn.XLOOKUP(F669,Lists!$D$2:$D$13,Lists!$E$2:$E$13,"Not Found"),"OK","Check Price")</f>
        <v>Check Price</v>
      </c>
    </row>
    <row r="670" spans="1:14" ht="15.5" hidden="1" thickTop="1" thickBot="1" x14ac:dyDescent="0.4">
      <c r="A670" s="36" t="str">
        <f t="shared" si="20"/>
        <v>ORD0669</v>
      </c>
      <c r="B670" s="34">
        <v>45556</v>
      </c>
      <c r="C670" s="38" t="s">
        <v>76</v>
      </c>
      <c r="D670" s="38" t="s">
        <v>54</v>
      </c>
      <c r="E670" s="38" t="s">
        <v>18</v>
      </c>
      <c r="F670" s="38" t="s">
        <v>43</v>
      </c>
      <c r="G670" s="38" t="s">
        <v>19</v>
      </c>
      <c r="H670" s="38">
        <v>1</v>
      </c>
      <c r="I670" s="38">
        <v>5000</v>
      </c>
      <c r="J670" s="38">
        <v>0.25</v>
      </c>
      <c r="K670" s="38">
        <f t="shared" si="21"/>
        <v>3750</v>
      </c>
      <c r="L670" s="38" t="s">
        <v>37</v>
      </c>
      <c r="M670" s="38" t="s">
        <v>22</v>
      </c>
      <c r="N670" s="4" t="str">
        <f>IF(I670=_xlfn.XLOOKUP(F670,Lists!$D$2:$D$13,Lists!$E$2:$E$13,"Not Found"),"OK","Check Price")</f>
        <v>Check Price</v>
      </c>
    </row>
    <row r="671" spans="1:14" ht="15.5" hidden="1" thickTop="1" thickBot="1" x14ac:dyDescent="0.4">
      <c r="A671" s="36" t="str">
        <f t="shared" si="20"/>
        <v>ORD0670</v>
      </c>
      <c r="B671" s="34">
        <v>45862</v>
      </c>
      <c r="C671" s="37" t="s">
        <v>62</v>
      </c>
      <c r="D671" s="37" t="s">
        <v>17</v>
      </c>
      <c r="E671" s="37" t="s">
        <v>18</v>
      </c>
      <c r="F671" s="37" t="s">
        <v>57</v>
      </c>
      <c r="G671" s="37" t="s">
        <v>30</v>
      </c>
      <c r="H671" s="37">
        <v>3</v>
      </c>
      <c r="I671" s="37">
        <v>5000</v>
      </c>
      <c r="J671" s="37">
        <v>0.05</v>
      </c>
      <c r="K671" s="37">
        <f t="shared" si="21"/>
        <v>14250</v>
      </c>
      <c r="L671" s="37" t="s">
        <v>32</v>
      </c>
      <c r="M671" s="37" t="s">
        <v>38</v>
      </c>
      <c r="N671" s="4" t="str">
        <f>IF(I671=_xlfn.XLOOKUP(F671,Lists!$D$2:$D$13,Lists!$E$2:$E$13,"Not Found"),"OK","Check Price")</f>
        <v>Check Price</v>
      </c>
    </row>
    <row r="672" spans="1:14" ht="15.5" hidden="1" thickTop="1" thickBot="1" x14ac:dyDescent="0.4">
      <c r="A672" s="36" t="str">
        <f t="shared" si="20"/>
        <v>ORD0671</v>
      </c>
      <c r="B672" s="34">
        <v>45651</v>
      </c>
      <c r="C672" s="38" t="s">
        <v>73</v>
      </c>
      <c r="D672" s="38" t="s">
        <v>48</v>
      </c>
      <c r="E672" s="38" t="s">
        <v>119</v>
      </c>
      <c r="F672" s="38" t="s">
        <v>25</v>
      </c>
      <c r="G672" s="38" t="s">
        <v>30</v>
      </c>
      <c r="H672" s="38">
        <v>4</v>
      </c>
      <c r="I672" s="38">
        <v>28000</v>
      </c>
      <c r="J672" s="38">
        <v>0.05</v>
      </c>
      <c r="K672" s="38">
        <f t="shared" si="21"/>
        <v>106400</v>
      </c>
      <c r="L672" s="38" t="s">
        <v>56</v>
      </c>
      <c r="M672" s="38" t="s">
        <v>38</v>
      </c>
      <c r="N672" s="4" t="str">
        <f>IF(I672=_xlfn.XLOOKUP(F672,Lists!$D$2:$D$13,Lists!$E$2:$E$13,"Not Found"),"OK","Check Price")</f>
        <v>Check Price</v>
      </c>
    </row>
    <row r="673" spans="1:14" ht="15.5" hidden="1" thickTop="1" thickBot="1" x14ac:dyDescent="0.4">
      <c r="A673" s="36" t="str">
        <f t="shared" si="20"/>
        <v>ORD0672</v>
      </c>
      <c r="B673" s="34">
        <v>45955</v>
      </c>
      <c r="C673" s="37" t="s">
        <v>76</v>
      </c>
      <c r="D673" s="37" t="s">
        <v>45</v>
      </c>
      <c r="E673" s="37" t="s">
        <v>18</v>
      </c>
      <c r="F673" s="37" t="s">
        <v>58</v>
      </c>
      <c r="G673" s="37" t="s">
        <v>24</v>
      </c>
      <c r="H673" s="37">
        <v>3</v>
      </c>
      <c r="I673" s="37">
        <v>2000</v>
      </c>
      <c r="J673" s="37">
        <v>0.25</v>
      </c>
      <c r="K673" s="37">
        <f t="shared" si="21"/>
        <v>4500</v>
      </c>
      <c r="L673" s="37" t="s">
        <v>56</v>
      </c>
      <c r="M673" s="37" t="s">
        <v>33</v>
      </c>
      <c r="N673" s="4" t="str">
        <f>IF(I673=_xlfn.XLOOKUP(F673,Lists!$D$2:$D$13,Lists!$E$2:$E$13,"Not Found"),"OK","Check Price")</f>
        <v>Check Price</v>
      </c>
    </row>
    <row r="674" spans="1:14" ht="15.5" hidden="1" thickTop="1" thickBot="1" x14ac:dyDescent="0.4">
      <c r="A674" s="36" t="str">
        <f t="shared" si="20"/>
        <v>ORD0673</v>
      </c>
      <c r="B674" s="34">
        <v>45729</v>
      </c>
      <c r="C674" s="38" t="s">
        <v>69</v>
      </c>
      <c r="D674" s="38" t="s">
        <v>42</v>
      </c>
      <c r="E674" s="38" t="s">
        <v>79</v>
      </c>
      <c r="F674" s="38" t="s">
        <v>58</v>
      </c>
      <c r="G674" s="38" t="s">
        <v>19</v>
      </c>
      <c r="H674" s="38">
        <v>8</v>
      </c>
      <c r="I674" s="38">
        <v>28000</v>
      </c>
      <c r="J674" s="38">
        <v>0.1</v>
      </c>
      <c r="K674" s="38">
        <f t="shared" si="21"/>
        <v>201600</v>
      </c>
      <c r="L674" s="38" t="s">
        <v>21</v>
      </c>
      <c r="M674" s="38" t="s">
        <v>33</v>
      </c>
      <c r="N674" s="4" t="str">
        <f>IF(I674=_xlfn.XLOOKUP(F674,Lists!$D$2:$D$13,Lists!$E$2:$E$13,"Not Found"),"OK","Check Price")</f>
        <v>Check Price</v>
      </c>
    </row>
    <row r="675" spans="1:14" ht="15.5" hidden="1" thickTop="1" thickBot="1" x14ac:dyDescent="0.4">
      <c r="A675" s="36" t="str">
        <f t="shared" si="20"/>
        <v>ORD0674</v>
      </c>
      <c r="B675" s="34">
        <v>45559</v>
      </c>
      <c r="C675" s="37" t="s">
        <v>70</v>
      </c>
      <c r="D675" s="37" t="s">
        <v>45</v>
      </c>
      <c r="E675" s="37" t="s">
        <v>79</v>
      </c>
      <c r="F675" s="37" t="s">
        <v>49</v>
      </c>
      <c r="G675" s="37" t="s">
        <v>19</v>
      </c>
      <c r="H675" s="37">
        <v>8</v>
      </c>
      <c r="I675" s="37">
        <v>30000</v>
      </c>
      <c r="J675" s="37">
        <v>0.15</v>
      </c>
      <c r="K675" s="37">
        <f t="shared" si="21"/>
        <v>204000</v>
      </c>
      <c r="L675" s="37" t="s">
        <v>47</v>
      </c>
      <c r="M675" s="37" t="s">
        <v>22</v>
      </c>
      <c r="N675" s="4" t="str">
        <f>IF(I675=_xlfn.XLOOKUP(F675,Lists!$D$2:$D$13,Lists!$E$2:$E$13,"Not Found"),"OK","Check Price")</f>
        <v>Check Price</v>
      </c>
    </row>
    <row r="676" spans="1:14" ht="15.5" thickTop="1" thickBot="1" x14ac:dyDescent="0.4">
      <c r="A676" s="36" t="str">
        <f t="shared" si="20"/>
        <v>ORD0675</v>
      </c>
      <c r="B676" s="34">
        <v>45828</v>
      </c>
      <c r="C676" s="38" t="s">
        <v>59</v>
      </c>
      <c r="D676" s="38" t="s">
        <v>48</v>
      </c>
      <c r="E676" s="38" t="s">
        <v>35</v>
      </c>
      <c r="F676" s="38" t="s">
        <v>46</v>
      </c>
      <c r="G676" s="35" t="str">
        <f>_xlfn.XLOOKUP(F676,Lists!$J$2:$J$13,Lists!$K$2:$K$13,"Not Found")</f>
        <v>Furniture</v>
      </c>
      <c r="H676" s="38">
        <v>4</v>
      </c>
      <c r="I676" s="35">
        <f>_xlfn.XLOOKUP(F676,Lists!$D$2:$D$13,Lists!$E$2:$E$13,"Not Found")</f>
        <v>22000</v>
      </c>
      <c r="J676" s="48">
        <v>0.05</v>
      </c>
      <c r="K676" s="35">
        <f>H676*I676*(1-J676)</f>
        <v>83600</v>
      </c>
      <c r="L676" s="38" t="s">
        <v>53</v>
      </c>
      <c r="M676" s="38" t="s">
        <v>38</v>
      </c>
      <c r="N676" s="4" t="str">
        <f>IF(I676=_xlfn.XLOOKUP(F676,Lists!$D$2:$D$13,Lists!$E$2:$E$13,"Not Found"),"OK","Check Price")</f>
        <v>OK</v>
      </c>
    </row>
    <row r="677" spans="1:14" ht="15.5" hidden="1" thickTop="1" thickBot="1" x14ac:dyDescent="0.4">
      <c r="A677" s="36" t="str">
        <f t="shared" si="20"/>
        <v>ORD0676</v>
      </c>
      <c r="B677" s="34">
        <v>45416</v>
      </c>
      <c r="C677" s="37" t="s">
        <v>63</v>
      </c>
      <c r="D677" s="37" t="s">
        <v>39</v>
      </c>
      <c r="E677" s="37" t="s">
        <v>80</v>
      </c>
      <c r="F677" s="37" t="s">
        <v>57</v>
      </c>
      <c r="G677" s="37" t="s">
        <v>30</v>
      </c>
      <c r="H677" s="37">
        <v>8</v>
      </c>
      <c r="I677" s="37">
        <v>5000</v>
      </c>
      <c r="J677" s="37">
        <v>0.2</v>
      </c>
      <c r="K677" s="37">
        <f t="shared" si="21"/>
        <v>32000</v>
      </c>
      <c r="L677" s="37" t="s">
        <v>37</v>
      </c>
      <c r="M677" s="37" t="s">
        <v>38</v>
      </c>
      <c r="N677" s="4" t="str">
        <f>IF(I677=_xlfn.XLOOKUP(F677,Lists!$D$2:$D$13,Lists!$E$2:$E$13,"Not Found"),"OK","Check Price")</f>
        <v>Check Price</v>
      </c>
    </row>
    <row r="678" spans="1:14" ht="15.5" hidden="1" thickTop="1" thickBot="1" x14ac:dyDescent="0.4">
      <c r="A678" s="36" t="str">
        <f t="shared" si="20"/>
        <v>ORD0677</v>
      </c>
      <c r="B678" s="34">
        <v>45323</v>
      </c>
      <c r="C678" s="38" t="s">
        <v>65</v>
      </c>
      <c r="D678" s="38" t="s">
        <v>48</v>
      </c>
      <c r="E678" s="38" t="s">
        <v>80</v>
      </c>
      <c r="F678" s="38" t="s">
        <v>49</v>
      </c>
      <c r="G678" s="38" t="s">
        <v>19</v>
      </c>
      <c r="H678" s="38">
        <v>7</v>
      </c>
      <c r="I678" s="38">
        <v>12000</v>
      </c>
      <c r="J678" s="38">
        <v>0.1</v>
      </c>
      <c r="K678" s="38">
        <f t="shared" si="21"/>
        <v>75600</v>
      </c>
      <c r="L678" s="38" t="s">
        <v>26</v>
      </c>
      <c r="M678" s="38" t="s">
        <v>22</v>
      </c>
      <c r="N678" s="4" t="str">
        <f>IF(I678=_xlfn.XLOOKUP(F678,Lists!$D$2:$D$13,Lists!$E$2:$E$13,"Not Found"),"OK","Check Price")</f>
        <v>Check Price</v>
      </c>
    </row>
    <row r="679" spans="1:14" ht="15.5" hidden="1" thickTop="1" thickBot="1" x14ac:dyDescent="0.4">
      <c r="A679" s="36" t="str">
        <f t="shared" si="20"/>
        <v>ORD0678</v>
      </c>
      <c r="B679" s="34">
        <v>46016</v>
      </c>
      <c r="C679" s="37" t="s">
        <v>72</v>
      </c>
      <c r="D679" s="37" t="s">
        <v>45</v>
      </c>
      <c r="E679" s="37" t="s">
        <v>29</v>
      </c>
      <c r="F679" s="37" t="s">
        <v>58</v>
      </c>
      <c r="G679" s="37" t="s">
        <v>30</v>
      </c>
      <c r="H679" s="37">
        <v>1</v>
      </c>
      <c r="I679" s="37">
        <v>1200</v>
      </c>
      <c r="J679" s="37">
        <v>0.25</v>
      </c>
      <c r="K679" s="37">
        <f t="shared" si="21"/>
        <v>900</v>
      </c>
      <c r="L679" s="37" t="s">
        <v>41</v>
      </c>
      <c r="M679" s="37" t="s">
        <v>38</v>
      </c>
      <c r="N679" s="4" t="str">
        <f>IF(I679=_xlfn.XLOOKUP(F679,Lists!$D$2:$D$13,Lists!$E$2:$E$13,"Not Found"),"OK","Check Price")</f>
        <v>Check Price</v>
      </c>
    </row>
    <row r="680" spans="1:14" ht="15.5" thickTop="1" thickBot="1" x14ac:dyDescent="0.4">
      <c r="A680" s="36" t="str">
        <f t="shared" si="20"/>
        <v>ORD0679</v>
      </c>
      <c r="B680" s="34">
        <v>45563</v>
      </c>
      <c r="C680" s="38" t="s">
        <v>63</v>
      </c>
      <c r="D680" s="38" t="s">
        <v>48</v>
      </c>
      <c r="E680" s="38" t="s">
        <v>79</v>
      </c>
      <c r="F680" s="38" t="s">
        <v>20</v>
      </c>
      <c r="G680" s="35" t="str">
        <f>_xlfn.XLOOKUP(F680,Lists!$J$2:$J$13,Lists!$K$2:$K$13,"Not Found")</f>
        <v>Electronics</v>
      </c>
      <c r="H680" s="38">
        <v>4</v>
      </c>
      <c r="I680" s="35">
        <f>_xlfn.XLOOKUP(F680,Lists!$D$2:$D$13,Lists!$E$2:$E$13,"Not Found")</f>
        <v>85000</v>
      </c>
      <c r="J680" s="48">
        <v>0.2</v>
      </c>
      <c r="K680" s="35">
        <f>H680*I680*(1-J680)</f>
        <v>272000</v>
      </c>
      <c r="L680" s="38" t="s">
        <v>21</v>
      </c>
      <c r="M680" s="38" t="s">
        <v>27</v>
      </c>
      <c r="N680" s="4" t="str">
        <f>IF(I680=_xlfn.XLOOKUP(F680,Lists!$D$2:$D$13,Lists!$E$2:$E$13,"Not Found"),"OK","Check Price")</f>
        <v>OK</v>
      </c>
    </row>
    <row r="681" spans="1:14" ht="15.5" hidden="1" thickTop="1" thickBot="1" x14ac:dyDescent="0.4">
      <c r="A681" s="36" t="str">
        <f t="shared" si="20"/>
        <v>ORD0680</v>
      </c>
      <c r="B681" s="34">
        <v>45505</v>
      </c>
      <c r="C681" s="37" t="s">
        <v>74</v>
      </c>
      <c r="D681" s="37" t="s">
        <v>54</v>
      </c>
      <c r="E681" s="37" t="s">
        <v>79</v>
      </c>
      <c r="F681" s="37" t="s">
        <v>52</v>
      </c>
      <c r="G681" s="37" t="s">
        <v>19</v>
      </c>
      <c r="H681" s="37">
        <v>1</v>
      </c>
      <c r="I681" s="37">
        <v>22000</v>
      </c>
      <c r="J681" s="37">
        <v>0.1</v>
      </c>
      <c r="K681" s="37">
        <f t="shared" si="21"/>
        <v>19800</v>
      </c>
      <c r="L681" s="37" t="s">
        <v>37</v>
      </c>
      <c r="M681" s="37" t="s">
        <v>27</v>
      </c>
      <c r="N681" s="4" t="str">
        <f>IF(I681=_xlfn.XLOOKUP(F681,Lists!$D$2:$D$13,Lists!$E$2:$E$13,"Not Found"),"OK","Check Price")</f>
        <v>Check Price</v>
      </c>
    </row>
    <row r="682" spans="1:14" ht="15.5" thickTop="1" thickBot="1" x14ac:dyDescent="0.4">
      <c r="A682" s="36" t="str">
        <f t="shared" si="20"/>
        <v>ORD0681</v>
      </c>
      <c r="B682" s="34">
        <v>45514</v>
      </c>
      <c r="C682" s="38" t="s">
        <v>64</v>
      </c>
      <c r="D682" s="38" t="s">
        <v>45</v>
      </c>
      <c r="E682" s="38" t="s">
        <v>79</v>
      </c>
      <c r="F682" s="38" t="s">
        <v>20</v>
      </c>
      <c r="G682" s="35" t="str">
        <f>_xlfn.XLOOKUP(F682,Lists!$J$2:$J$13,Lists!$K$2:$K$13,"Not Found")</f>
        <v>Electronics</v>
      </c>
      <c r="H682" s="38">
        <v>8</v>
      </c>
      <c r="I682" s="35">
        <f>_xlfn.XLOOKUP(F682,Lists!$D$2:$D$13,Lists!$E$2:$E$13,"Not Found")</f>
        <v>85000</v>
      </c>
      <c r="J682" s="48">
        <v>0.1</v>
      </c>
      <c r="K682" s="35">
        <f t="shared" si="21"/>
        <v>612000</v>
      </c>
      <c r="L682" s="38" t="s">
        <v>21</v>
      </c>
      <c r="M682" s="38" t="s">
        <v>22</v>
      </c>
      <c r="N682" s="4" t="str">
        <f>IF(I682=_xlfn.XLOOKUP(F682,Lists!$D$2:$D$13,Lists!$E$2:$E$13,"Not Found"),"OK","Check Price")</f>
        <v>OK</v>
      </c>
    </row>
    <row r="683" spans="1:14" ht="15.5" thickTop="1" thickBot="1" x14ac:dyDescent="0.4">
      <c r="A683" s="36" t="str">
        <f t="shared" si="20"/>
        <v>ORD0682</v>
      </c>
      <c r="B683" s="34">
        <v>45885</v>
      </c>
      <c r="C683" s="37" t="s">
        <v>70</v>
      </c>
      <c r="D683" s="37" t="s">
        <v>42</v>
      </c>
      <c r="E683" s="37" t="s">
        <v>79</v>
      </c>
      <c r="F683" s="37" t="s">
        <v>55</v>
      </c>
      <c r="G683" s="35" t="str">
        <f>_xlfn.XLOOKUP(F683,Lists!$J$2:$J$13,Lists!$K$2:$K$13,"Not Found")</f>
        <v>Office Supplies</v>
      </c>
      <c r="H683" s="37">
        <v>5</v>
      </c>
      <c r="I683" s="35">
        <f>_xlfn.XLOOKUP(F683,Lists!$D$2:$D$13,Lists!$E$2:$E$13,"Not Found")</f>
        <v>1500</v>
      </c>
      <c r="J683" s="47">
        <v>0.25</v>
      </c>
      <c r="K683" s="35">
        <f t="shared" si="21"/>
        <v>5625</v>
      </c>
      <c r="L683" s="37" t="s">
        <v>32</v>
      </c>
      <c r="M683" s="37" t="s">
        <v>38</v>
      </c>
      <c r="N683" s="4" t="str">
        <f>IF(I683=_xlfn.XLOOKUP(F683,Lists!$D$2:$D$13,Lists!$E$2:$E$13,"Not Found"),"OK","Check Price")</f>
        <v>OK</v>
      </c>
    </row>
    <row r="684" spans="1:14" ht="15.5" hidden="1" thickTop="1" thickBot="1" x14ac:dyDescent="0.4">
      <c r="A684" s="36" t="str">
        <f t="shared" si="20"/>
        <v>ORD0683</v>
      </c>
      <c r="B684" s="34">
        <v>45764</v>
      </c>
      <c r="C684" s="38" t="s">
        <v>59</v>
      </c>
      <c r="D684" s="38" t="s">
        <v>39</v>
      </c>
      <c r="E684" s="38" t="s">
        <v>35</v>
      </c>
      <c r="F684" s="38" t="s">
        <v>58</v>
      </c>
      <c r="G684" s="38" t="s">
        <v>24</v>
      </c>
      <c r="H684" s="38">
        <v>9</v>
      </c>
      <c r="I684" s="38">
        <v>5000</v>
      </c>
      <c r="J684" s="38">
        <v>0.15</v>
      </c>
      <c r="K684" s="38">
        <f t="shared" si="21"/>
        <v>38250</v>
      </c>
      <c r="L684" s="38" t="s">
        <v>50</v>
      </c>
      <c r="M684" s="38" t="s">
        <v>33</v>
      </c>
      <c r="N684" s="4" t="str">
        <f>IF(I684=_xlfn.XLOOKUP(F684,Lists!$D$2:$D$13,Lists!$E$2:$E$13,"Not Found"),"OK","Check Price")</f>
        <v>OK</v>
      </c>
    </row>
    <row r="685" spans="1:14" ht="15.5" thickTop="1" thickBot="1" x14ac:dyDescent="0.4">
      <c r="A685" s="36" t="str">
        <f t="shared" si="20"/>
        <v>ORD0684</v>
      </c>
      <c r="B685" s="34">
        <v>45705</v>
      </c>
      <c r="C685" s="37" t="s">
        <v>73</v>
      </c>
      <c r="D685" s="37" t="s">
        <v>34</v>
      </c>
      <c r="E685" s="37" t="s">
        <v>29</v>
      </c>
      <c r="F685" s="37" t="s">
        <v>46</v>
      </c>
      <c r="G685" s="35" t="str">
        <f>_xlfn.XLOOKUP(F685,Lists!$J$2:$J$13,Lists!$K$2:$K$13,"Not Found")</f>
        <v>Furniture</v>
      </c>
      <c r="H685" s="37">
        <v>8</v>
      </c>
      <c r="I685" s="35">
        <f>_xlfn.XLOOKUP(F685,Lists!$D$2:$D$13,Lists!$E$2:$E$13,"Not Found")</f>
        <v>22000</v>
      </c>
      <c r="J685" s="47">
        <v>0.15</v>
      </c>
      <c r="K685" s="35">
        <f>H685*I685*(1-J685)</f>
        <v>149600</v>
      </c>
      <c r="L685" s="37" t="s">
        <v>50</v>
      </c>
      <c r="M685" s="37" t="s">
        <v>22</v>
      </c>
      <c r="N685" s="4" t="str">
        <f>IF(I685=_xlfn.XLOOKUP(F685,Lists!$D$2:$D$13,Lists!$E$2:$E$13,"Not Found"),"OK","Check Price")</f>
        <v>OK</v>
      </c>
    </row>
    <row r="686" spans="1:14" ht="15.5" hidden="1" thickTop="1" thickBot="1" x14ac:dyDescent="0.4">
      <c r="A686" s="36" t="str">
        <f t="shared" si="20"/>
        <v>ORD0685</v>
      </c>
      <c r="B686" s="34">
        <v>45913</v>
      </c>
      <c r="C686" s="38" t="s">
        <v>66</v>
      </c>
      <c r="D686" s="38" t="s">
        <v>23</v>
      </c>
      <c r="E686" s="38" t="s">
        <v>18</v>
      </c>
      <c r="F686" s="38" t="s">
        <v>49</v>
      </c>
      <c r="G686" s="38" t="s">
        <v>30</v>
      </c>
      <c r="H686" s="38">
        <v>5</v>
      </c>
      <c r="I686" s="38">
        <v>1500</v>
      </c>
      <c r="J686" s="38">
        <v>0.15</v>
      </c>
      <c r="K686" s="38">
        <f t="shared" si="21"/>
        <v>6375</v>
      </c>
      <c r="L686" s="38" t="s">
        <v>32</v>
      </c>
      <c r="M686" s="38" t="s">
        <v>38</v>
      </c>
      <c r="N686" s="4" t="str">
        <f>IF(I686=_xlfn.XLOOKUP(F686,Lists!$D$2:$D$13,Lists!$E$2:$E$13,"Not Found"),"OK","Check Price")</f>
        <v>Check Price</v>
      </c>
    </row>
    <row r="687" spans="1:14" ht="15.5" hidden="1" thickTop="1" thickBot="1" x14ac:dyDescent="0.4">
      <c r="A687" s="36" t="str">
        <f t="shared" si="20"/>
        <v>ORD0686</v>
      </c>
      <c r="B687" s="34">
        <v>45898</v>
      </c>
      <c r="C687" s="37" t="s">
        <v>73</v>
      </c>
      <c r="D687" s="37" t="s">
        <v>17</v>
      </c>
      <c r="E687" s="37" t="s">
        <v>119</v>
      </c>
      <c r="F687" s="37" t="s">
        <v>52</v>
      </c>
      <c r="G687" s="37" t="s">
        <v>19</v>
      </c>
      <c r="H687" s="37">
        <v>2</v>
      </c>
      <c r="I687" s="37">
        <v>5000</v>
      </c>
      <c r="J687" s="37">
        <v>0.25</v>
      </c>
      <c r="K687" s="37">
        <f t="shared" si="21"/>
        <v>7500</v>
      </c>
      <c r="L687" s="37" t="s">
        <v>21</v>
      </c>
      <c r="M687" s="37" t="s">
        <v>38</v>
      </c>
      <c r="N687" s="4" t="str">
        <f>IF(I687=_xlfn.XLOOKUP(F687,Lists!$D$2:$D$13,Lists!$E$2:$E$13,"Not Found"),"OK","Check Price")</f>
        <v>Check Price</v>
      </c>
    </row>
    <row r="688" spans="1:14" ht="15.5" hidden="1" thickTop="1" thickBot="1" x14ac:dyDescent="0.4">
      <c r="A688" s="36" t="str">
        <f t="shared" si="20"/>
        <v>ORD0687</v>
      </c>
      <c r="B688" s="34">
        <v>45724</v>
      </c>
      <c r="C688" s="38" t="s">
        <v>66</v>
      </c>
      <c r="D688" s="38" t="s">
        <v>45</v>
      </c>
      <c r="E688" s="38" t="s">
        <v>29</v>
      </c>
      <c r="F688" s="38" t="s">
        <v>31</v>
      </c>
      <c r="G688" s="38" t="s">
        <v>19</v>
      </c>
      <c r="H688" s="38">
        <v>6</v>
      </c>
      <c r="I688" s="38">
        <v>30000</v>
      </c>
      <c r="J688" s="38">
        <v>0.05</v>
      </c>
      <c r="K688" s="38">
        <f t="shared" si="21"/>
        <v>171000</v>
      </c>
      <c r="L688" s="38" t="s">
        <v>32</v>
      </c>
      <c r="M688" s="38" t="s">
        <v>33</v>
      </c>
      <c r="N688" s="4" t="str">
        <f>IF(I688=_xlfn.XLOOKUP(F688,Lists!$D$2:$D$13,Lists!$E$2:$E$13,"Not Found"),"OK","Check Price")</f>
        <v>Check Price</v>
      </c>
    </row>
    <row r="689" spans="1:14" ht="15.5" thickTop="1" thickBot="1" x14ac:dyDescent="0.4">
      <c r="A689" s="36" t="str">
        <f t="shared" si="20"/>
        <v>ORD0688</v>
      </c>
      <c r="B689" s="34">
        <v>45880</v>
      </c>
      <c r="C689" s="37" t="s">
        <v>72</v>
      </c>
      <c r="D689" s="37" t="s">
        <v>51</v>
      </c>
      <c r="E689" s="37" t="s">
        <v>80</v>
      </c>
      <c r="F689" s="37" t="s">
        <v>20</v>
      </c>
      <c r="G689" s="35" t="str">
        <f>_xlfn.XLOOKUP(F689,Lists!$J$2:$J$13,Lists!$K$2:$K$13,"Not Found")</f>
        <v>Electronics</v>
      </c>
      <c r="H689" s="37">
        <v>4</v>
      </c>
      <c r="I689" s="35">
        <f>_xlfn.XLOOKUP(F689,Lists!$D$2:$D$13,Lists!$E$2:$E$13,"Not Found")</f>
        <v>85000</v>
      </c>
      <c r="J689" s="47">
        <v>0.05</v>
      </c>
      <c r="K689" s="35">
        <f>H689*I689*(1-J689)</f>
        <v>323000</v>
      </c>
      <c r="L689" s="37" t="s">
        <v>47</v>
      </c>
      <c r="M689" s="37" t="s">
        <v>22</v>
      </c>
      <c r="N689" s="4" t="str">
        <f>IF(I689=_xlfn.XLOOKUP(F689,Lists!$D$2:$D$13,Lists!$E$2:$E$13,"Not Found"),"OK","Check Price")</f>
        <v>OK</v>
      </c>
    </row>
    <row r="690" spans="1:14" ht="15.5" hidden="1" thickTop="1" thickBot="1" x14ac:dyDescent="0.4">
      <c r="A690" s="36" t="str">
        <f t="shared" si="20"/>
        <v>ORD0689</v>
      </c>
      <c r="B690" s="34">
        <v>45593</v>
      </c>
      <c r="C690" s="38" t="s">
        <v>71</v>
      </c>
      <c r="D690" s="38" t="s">
        <v>28</v>
      </c>
      <c r="E690" s="38" t="s">
        <v>29</v>
      </c>
      <c r="F690" s="38" t="s">
        <v>49</v>
      </c>
      <c r="G690" s="38" t="s">
        <v>30</v>
      </c>
      <c r="H690" s="38">
        <v>10</v>
      </c>
      <c r="I690" s="38">
        <v>350</v>
      </c>
      <c r="J690" s="38">
        <v>0.2</v>
      </c>
      <c r="K690" s="38">
        <f t="shared" si="21"/>
        <v>2800</v>
      </c>
      <c r="L690" s="38" t="s">
        <v>37</v>
      </c>
      <c r="M690" s="38" t="s">
        <v>33</v>
      </c>
      <c r="N690" s="4" t="str">
        <f>IF(I690=_xlfn.XLOOKUP(F690,Lists!$D$2:$D$13,Lists!$E$2:$E$13,"Not Found"),"OK","Check Price")</f>
        <v>OK</v>
      </c>
    </row>
    <row r="691" spans="1:14" ht="15.5" hidden="1" thickTop="1" thickBot="1" x14ac:dyDescent="0.4">
      <c r="A691" s="36" t="str">
        <f t="shared" si="20"/>
        <v>ORD0690</v>
      </c>
      <c r="B691" s="34">
        <v>45391</v>
      </c>
      <c r="C691" s="37" t="s">
        <v>60</v>
      </c>
      <c r="D691" s="37" t="s">
        <v>34</v>
      </c>
      <c r="E691" s="37" t="s">
        <v>79</v>
      </c>
      <c r="F691" s="37" t="s">
        <v>58</v>
      </c>
      <c r="G691" s="37" t="s">
        <v>19</v>
      </c>
      <c r="H691" s="37">
        <v>8</v>
      </c>
      <c r="I691" s="37">
        <v>85000</v>
      </c>
      <c r="J691" s="37">
        <v>0.05</v>
      </c>
      <c r="K691" s="37">
        <f t="shared" si="21"/>
        <v>646000</v>
      </c>
      <c r="L691" s="37" t="s">
        <v>56</v>
      </c>
      <c r="M691" s="37" t="s">
        <v>27</v>
      </c>
      <c r="N691" s="4" t="str">
        <f>IF(I691=_xlfn.XLOOKUP(F691,Lists!$D$2:$D$13,Lists!$E$2:$E$13,"Not Found"),"OK","Check Price")</f>
        <v>Check Price</v>
      </c>
    </row>
    <row r="692" spans="1:14" ht="15.5" hidden="1" thickTop="1" thickBot="1" x14ac:dyDescent="0.4">
      <c r="A692" s="36" t="str">
        <f t="shared" si="20"/>
        <v>ORD0691</v>
      </c>
      <c r="B692" s="34">
        <v>45846</v>
      </c>
      <c r="C692" s="38" t="s">
        <v>71</v>
      </c>
      <c r="D692" s="38" t="s">
        <v>39</v>
      </c>
      <c r="E692" s="38" t="s">
        <v>35</v>
      </c>
      <c r="F692" s="38" t="s">
        <v>43</v>
      </c>
      <c r="G692" s="38" t="s">
        <v>19</v>
      </c>
      <c r="H692" s="38">
        <v>9</v>
      </c>
      <c r="I692" s="38">
        <v>30000</v>
      </c>
      <c r="J692" s="38">
        <v>0.15</v>
      </c>
      <c r="K692" s="38">
        <f t="shared" si="21"/>
        <v>229500</v>
      </c>
      <c r="L692" s="38" t="s">
        <v>21</v>
      </c>
      <c r="M692" s="38" t="s">
        <v>22</v>
      </c>
      <c r="N692" s="4" t="str">
        <f>IF(I692=_xlfn.XLOOKUP(F692,Lists!$D$2:$D$13,Lists!$E$2:$E$13,"Not Found"),"OK","Check Price")</f>
        <v>Check Price</v>
      </c>
    </row>
    <row r="693" spans="1:14" ht="15.5" hidden="1" thickTop="1" thickBot="1" x14ac:dyDescent="0.4">
      <c r="A693" s="36" t="str">
        <f t="shared" si="20"/>
        <v>ORD0692</v>
      </c>
      <c r="B693" s="34">
        <v>45552</v>
      </c>
      <c r="C693" s="37" t="s">
        <v>70</v>
      </c>
      <c r="D693" s="37" t="s">
        <v>48</v>
      </c>
      <c r="E693" s="37" t="s">
        <v>35</v>
      </c>
      <c r="F693" s="37" t="s">
        <v>49</v>
      </c>
      <c r="G693" s="37" t="s">
        <v>30</v>
      </c>
      <c r="H693" s="37">
        <v>3</v>
      </c>
      <c r="I693" s="37">
        <v>4000</v>
      </c>
      <c r="J693" s="37">
        <v>0.1</v>
      </c>
      <c r="K693" s="37">
        <f t="shared" si="21"/>
        <v>10800</v>
      </c>
      <c r="L693" s="37" t="s">
        <v>50</v>
      </c>
      <c r="M693" s="37" t="s">
        <v>22</v>
      </c>
      <c r="N693" s="4" t="str">
        <f>IF(I693=_xlfn.XLOOKUP(F693,Lists!$D$2:$D$13,Lists!$E$2:$E$13,"Not Found"),"OK","Check Price")</f>
        <v>Check Price</v>
      </c>
    </row>
    <row r="694" spans="1:14" ht="15.5" hidden="1" thickTop="1" thickBot="1" x14ac:dyDescent="0.4">
      <c r="A694" s="36" t="str">
        <f t="shared" si="20"/>
        <v>ORD0693</v>
      </c>
      <c r="B694" s="34">
        <v>45297</v>
      </c>
      <c r="C694" s="38" t="s">
        <v>63</v>
      </c>
      <c r="D694" s="38" t="s">
        <v>54</v>
      </c>
      <c r="E694" s="38" t="s">
        <v>35</v>
      </c>
      <c r="F694" s="38" t="s">
        <v>43</v>
      </c>
      <c r="G694" s="38" t="s">
        <v>19</v>
      </c>
      <c r="H694" s="38">
        <v>7</v>
      </c>
      <c r="I694" s="38">
        <v>2000</v>
      </c>
      <c r="J694" s="38">
        <v>0.15</v>
      </c>
      <c r="K694" s="38">
        <f t="shared" si="21"/>
        <v>11900</v>
      </c>
      <c r="L694" s="38" t="s">
        <v>44</v>
      </c>
      <c r="M694" s="38" t="s">
        <v>33</v>
      </c>
      <c r="N694" s="4" t="str">
        <f>IF(I694=_xlfn.XLOOKUP(F694,Lists!$D$2:$D$13,Lists!$E$2:$E$13,"Not Found"),"OK","Check Price")</f>
        <v>Check Price</v>
      </c>
    </row>
    <row r="695" spans="1:14" ht="15.5" hidden="1" thickTop="1" thickBot="1" x14ac:dyDescent="0.4">
      <c r="A695" s="36" t="str">
        <f t="shared" si="20"/>
        <v>ORD0694</v>
      </c>
      <c r="B695" s="34">
        <v>45366</v>
      </c>
      <c r="C695" s="37" t="s">
        <v>65</v>
      </c>
      <c r="D695" s="37" t="s">
        <v>39</v>
      </c>
      <c r="E695" s="37" t="s">
        <v>119</v>
      </c>
      <c r="F695" s="37" t="s">
        <v>31</v>
      </c>
      <c r="G695" s="37" t="s">
        <v>19</v>
      </c>
      <c r="H695" s="37">
        <v>1</v>
      </c>
      <c r="I695" s="37">
        <v>85000</v>
      </c>
      <c r="J695" s="37">
        <v>0.05</v>
      </c>
      <c r="K695" s="37">
        <f t="shared" si="21"/>
        <v>80750</v>
      </c>
      <c r="L695" s="37" t="s">
        <v>37</v>
      </c>
      <c r="M695" s="37" t="s">
        <v>22</v>
      </c>
      <c r="N695" s="4" t="str">
        <f>IF(I695=_xlfn.XLOOKUP(F695,Lists!$D$2:$D$13,Lists!$E$2:$E$13,"Not Found"),"OK","Check Price")</f>
        <v>Check Price</v>
      </c>
    </row>
    <row r="696" spans="1:14" ht="15.5" hidden="1" thickTop="1" thickBot="1" x14ac:dyDescent="0.4">
      <c r="A696" s="36" t="str">
        <f t="shared" si="20"/>
        <v>ORD0695</v>
      </c>
      <c r="B696" s="34">
        <v>45982</v>
      </c>
      <c r="C696" s="38" t="s">
        <v>65</v>
      </c>
      <c r="D696" s="38" t="s">
        <v>48</v>
      </c>
      <c r="E696" s="38" t="s">
        <v>80</v>
      </c>
      <c r="F696" s="38" t="s">
        <v>58</v>
      </c>
      <c r="G696" s="38" t="s">
        <v>24</v>
      </c>
      <c r="H696" s="38">
        <v>9</v>
      </c>
      <c r="I696" s="38">
        <v>85000</v>
      </c>
      <c r="J696" s="38">
        <v>0.25</v>
      </c>
      <c r="K696" s="38">
        <f t="shared" si="21"/>
        <v>573750</v>
      </c>
      <c r="L696" s="38" t="s">
        <v>21</v>
      </c>
      <c r="M696" s="38" t="s">
        <v>33</v>
      </c>
      <c r="N696" s="4" t="str">
        <f>IF(I696=_xlfn.XLOOKUP(F696,Lists!$D$2:$D$13,Lists!$E$2:$E$13,"Not Found"),"OK","Check Price")</f>
        <v>Check Price</v>
      </c>
    </row>
    <row r="697" spans="1:14" ht="15.5" thickTop="1" thickBot="1" x14ac:dyDescent="0.4">
      <c r="A697" s="36" t="str">
        <f t="shared" si="20"/>
        <v>ORD0696</v>
      </c>
      <c r="B697" s="34">
        <v>45688</v>
      </c>
      <c r="C697" s="37" t="s">
        <v>72</v>
      </c>
      <c r="D697" s="37" t="s">
        <v>28</v>
      </c>
      <c r="E697" s="37" t="s">
        <v>29</v>
      </c>
      <c r="F697" s="37" t="s">
        <v>20</v>
      </c>
      <c r="G697" s="35" t="str">
        <f>_xlfn.XLOOKUP(F697,Lists!$J$2:$J$13,Lists!$K$2:$K$13,"Not Found")</f>
        <v>Electronics</v>
      </c>
      <c r="H697" s="37">
        <v>2</v>
      </c>
      <c r="I697" s="35">
        <f>_xlfn.XLOOKUP(F697,Lists!$D$2:$D$13,Lists!$E$2:$E$13,"Not Found")</f>
        <v>85000</v>
      </c>
      <c r="J697" s="47">
        <v>0.15</v>
      </c>
      <c r="K697" s="35">
        <f>H697*I697*(1-J697)</f>
        <v>144500</v>
      </c>
      <c r="L697" s="37" t="s">
        <v>37</v>
      </c>
      <c r="M697" s="37" t="s">
        <v>38</v>
      </c>
      <c r="N697" s="4" t="str">
        <f>IF(I697=_xlfn.XLOOKUP(F697,Lists!$D$2:$D$13,Lists!$E$2:$E$13,"Not Found"),"OK","Check Price")</f>
        <v>OK</v>
      </c>
    </row>
    <row r="698" spans="1:14" ht="15.5" hidden="1" thickTop="1" thickBot="1" x14ac:dyDescent="0.4">
      <c r="A698" s="36" t="str">
        <f t="shared" si="20"/>
        <v>ORD0697</v>
      </c>
      <c r="B698" s="34">
        <v>45767</v>
      </c>
      <c r="C698" s="38" t="s">
        <v>65</v>
      </c>
      <c r="D698" s="38" t="s">
        <v>23</v>
      </c>
      <c r="E698" s="38" t="s">
        <v>80</v>
      </c>
      <c r="F698" s="38" t="s">
        <v>31</v>
      </c>
      <c r="G698" s="38" t="s">
        <v>24</v>
      </c>
      <c r="H698" s="38">
        <v>6</v>
      </c>
      <c r="I698" s="38">
        <v>85000</v>
      </c>
      <c r="J698" s="38">
        <v>0.15</v>
      </c>
      <c r="K698" s="38">
        <f t="shared" si="21"/>
        <v>433500</v>
      </c>
      <c r="L698" s="38" t="s">
        <v>37</v>
      </c>
      <c r="M698" s="38" t="s">
        <v>33</v>
      </c>
      <c r="N698" s="4" t="str">
        <f>IF(I698=_xlfn.XLOOKUP(F698,Lists!$D$2:$D$13,Lists!$E$2:$E$13,"Not Found"),"OK","Check Price")</f>
        <v>Check Price</v>
      </c>
    </row>
    <row r="699" spans="1:14" ht="15.5" hidden="1" thickTop="1" thickBot="1" x14ac:dyDescent="0.4">
      <c r="A699" s="36" t="str">
        <f t="shared" si="20"/>
        <v>ORD0698</v>
      </c>
      <c r="B699" s="34">
        <v>45572</v>
      </c>
      <c r="C699" s="37" t="s">
        <v>71</v>
      </c>
      <c r="D699" s="37" t="s">
        <v>42</v>
      </c>
      <c r="E699" s="37" t="s">
        <v>35</v>
      </c>
      <c r="F699" s="37" t="s">
        <v>40</v>
      </c>
      <c r="G699" s="37" t="s">
        <v>19</v>
      </c>
      <c r="H699" s="37">
        <v>3</v>
      </c>
      <c r="I699" s="37">
        <v>28000</v>
      </c>
      <c r="J699" s="37">
        <v>0.2</v>
      </c>
      <c r="K699" s="37">
        <f t="shared" si="21"/>
        <v>67200</v>
      </c>
      <c r="L699" s="37" t="s">
        <v>56</v>
      </c>
      <c r="M699" s="37" t="s">
        <v>38</v>
      </c>
      <c r="N699" s="4" t="str">
        <f>IF(I699=_xlfn.XLOOKUP(F699,Lists!$D$2:$D$13,Lists!$E$2:$E$13,"Not Found"),"OK","Check Price")</f>
        <v>OK</v>
      </c>
    </row>
    <row r="700" spans="1:14" ht="15.5" hidden="1" thickTop="1" thickBot="1" x14ac:dyDescent="0.4">
      <c r="A700" s="36" t="str">
        <f t="shared" si="20"/>
        <v>ORD0699</v>
      </c>
      <c r="B700" s="34">
        <v>45373</v>
      </c>
      <c r="C700" s="38" t="s">
        <v>77</v>
      </c>
      <c r="D700" s="38" t="s">
        <v>28</v>
      </c>
      <c r="E700" s="38" t="s">
        <v>79</v>
      </c>
      <c r="F700" s="38" t="s">
        <v>49</v>
      </c>
      <c r="G700" s="38" t="s">
        <v>24</v>
      </c>
      <c r="H700" s="38">
        <v>9</v>
      </c>
      <c r="I700" s="38">
        <v>1500</v>
      </c>
      <c r="J700" s="38">
        <v>0.25</v>
      </c>
      <c r="K700" s="38">
        <f t="shared" si="21"/>
        <v>10125</v>
      </c>
      <c r="L700" s="38" t="s">
        <v>44</v>
      </c>
      <c r="M700" s="38" t="s">
        <v>27</v>
      </c>
      <c r="N700" s="4" t="str">
        <f>IF(I700=_xlfn.XLOOKUP(F700,Lists!$D$2:$D$13,Lists!$E$2:$E$13,"Not Found"),"OK","Check Price")</f>
        <v>Check Price</v>
      </c>
    </row>
    <row r="701" spans="1:14" ht="15.5" hidden="1" thickTop="1" thickBot="1" x14ac:dyDescent="0.4">
      <c r="A701" s="36" t="str">
        <f t="shared" si="20"/>
        <v>ORD0700</v>
      </c>
      <c r="B701" s="34">
        <v>45931</v>
      </c>
      <c r="C701" s="37" t="s">
        <v>61</v>
      </c>
      <c r="D701" s="37" t="s">
        <v>23</v>
      </c>
      <c r="E701" s="37" t="s">
        <v>18</v>
      </c>
      <c r="F701" s="37" t="s">
        <v>31</v>
      </c>
      <c r="G701" s="37" t="s">
        <v>19</v>
      </c>
      <c r="H701" s="37">
        <v>8</v>
      </c>
      <c r="I701" s="37">
        <v>2000</v>
      </c>
      <c r="J701" s="37">
        <v>0.2</v>
      </c>
      <c r="K701" s="37">
        <f t="shared" si="21"/>
        <v>12800</v>
      </c>
      <c r="L701" s="37" t="s">
        <v>37</v>
      </c>
      <c r="M701" s="37" t="s">
        <v>38</v>
      </c>
      <c r="N701" s="4" t="str">
        <f>IF(I701=_xlfn.XLOOKUP(F701,Lists!$D$2:$D$13,Lists!$E$2:$E$13,"Not Found"),"OK","Check Price")</f>
        <v>Check Price</v>
      </c>
    </row>
    <row r="702" spans="1:14" ht="15.5" hidden="1" thickTop="1" thickBot="1" x14ac:dyDescent="0.4">
      <c r="A702" s="36" t="str">
        <f t="shared" si="20"/>
        <v>ORD0701</v>
      </c>
      <c r="B702" s="34">
        <v>45925</v>
      </c>
      <c r="C702" s="38" t="s">
        <v>77</v>
      </c>
      <c r="D702" s="38" t="s">
        <v>39</v>
      </c>
      <c r="E702" s="38" t="s">
        <v>18</v>
      </c>
      <c r="F702" s="38" t="s">
        <v>58</v>
      </c>
      <c r="G702" s="38" t="s">
        <v>30</v>
      </c>
      <c r="H702" s="38">
        <v>9</v>
      </c>
      <c r="I702" s="38">
        <v>22000</v>
      </c>
      <c r="J702" s="38">
        <v>0.2</v>
      </c>
      <c r="K702" s="38">
        <f t="shared" si="21"/>
        <v>158400</v>
      </c>
      <c r="L702" s="38" t="s">
        <v>26</v>
      </c>
      <c r="M702" s="38" t="s">
        <v>38</v>
      </c>
      <c r="N702" s="4" t="str">
        <f>IF(I702=_xlfn.XLOOKUP(F702,Lists!$D$2:$D$13,Lists!$E$2:$E$13,"Not Found"),"OK","Check Price")</f>
        <v>Check Price</v>
      </c>
    </row>
    <row r="703" spans="1:14" ht="15.5" hidden="1" thickTop="1" thickBot="1" x14ac:dyDescent="0.4">
      <c r="A703" s="36" t="str">
        <f t="shared" si="20"/>
        <v>ORD0702</v>
      </c>
      <c r="B703" s="34">
        <v>45856</v>
      </c>
      <c r="C703" s="37" t="s">
        <v>75</v>
      </c>
      <c r="D703" s="37" t="s">
        <v>28</v>
      </c>
      <c r="E703" s="37" t="s">
        <v>18</v>
      </c>
      <c r="F703" s="37" t="s">
        <v>31</v>
      </c>
      <c r="G703" s="37" t="s">
        <v>30</v>
      </c>
      <c r="H703" s="37">
        <v>7</v>
      </c>
      <c r="I703" s="37">
        <v>30000</v>
      </c>
      <c r="J703" s="37">
        <v>0.1</v>
      </c>
      <c r="K703" s="37">
        <f t="shared" si="21"/>
        <v>189000</v>
      </c>
      <c r="L703" s="37" t="s">
        <v>21</v>
      </c>
      <c r="M703" s="37" t="s">
        <v>38</v>
      </c>
      <c r="N703" s="4" t="str">
        <f>IF(I703=_xlfn.XLOOKUP(F703,Lists!$D$2:$D$13,Lists!$E$2:$E$13,"Not Found"),"OK","Check Price")</f>
        <v>Check Price</v>
      </c>
    </row>
    <row r="704" spans="1:14" ht="15.5" hidden="1" thickTop="1" thickBot="1" x14ac:dyDescent="0.4">
      <c r="A704" s="36" t="str">
        <f t="shared" si="20"/>
        <v>ORD0703</v>
      </c>
      <c r="B704" s="34">
        <v>45523</v>
      </c>
      <c r="C704" s="38" t="s">
        <v>70</v>
      </c>
      <c r="D704" s="38" t="s">
        <v>48</v>
      </c>
      <c r="E704" s="38" t="s">
        <v>119</v>
      </c>
      <c r="F704" s="38" t="s">
        <v>57</v>
      </c>
      <c r="G704" s="38" t="s">
        <v>19</v>
      </c>
      <c r="H704" s="38">
        <v>2</v>
      </c>
      <c r="I704" s="38">
        <v>28000</v>
      </c>
      <c r="J704" s="38">
        <v>0.05</v>
      </c>
      <c r="K704" s="38">
        <f t="shared" si="21"/>
        <v>53200</v>
      </c>
      <c r="L704" s="38" t="s">
        <v>37</v>
      </c>
      <c r="M704" s="38" t="s">
        <v>38</v>
      </c>
      <c r="N704" s="4" t="str">
        <f>IF(I704=_xlfn.XLOOKUP(F704,Lists!$D$2:$D$13,Lists!$E$2:$E$13,"Not Found"),"OK","Check Price")</f>
        <v>Check Price</v>
      </c>
    </row>
    <row r="705" spans="1:14" ht="15.5" hidden="1" thickTop="1" thickBot="1" x14ac:dyDescent="0.4">
      <c r="A705" s="36" t="str">
        <f t="shared" si="20"/>
        <v>ORD0704</v>
      </c>
      <c r="B705" s="34">
        <v>45357</v>
      </c>
      <c r="C705" s="37" t="s">
        <v>63</v>
      </c>
      <c r="D705" s="37" t="s">
        <v>51</v>
      </c>
      <c r="E705" s="37" t="s">
        <v>80</v>
      </c>
      <c r="F705" s="37" t="s">
        <v>43</v>
      </c>
      <c r="G705" s="37" t="s">
        <v>24</v>
      </c>
      <c r="H705" s="37">
        <v>6</v>
      </c>
      <c r="I705" s="37">
        <v>12000</v>
      </c>
      <c r="J705" s="37">
        <v>0.05</v>
      </c>
      <c r="K705" s="37">
        <f t="shared" si="21"/>
        <v>68400</v>
      </c>
      <c r="L705" s="37" t="s">
        <v>26</v>
      </c>
      <c r="M705" s="37" t="s">
        <v>38</v>
      </c>
      <c r="N705" s="4" t="str">
        <f>IF(I705=_xlfn.XLOOKUP(F705,Lists!$D$2:$D$13,Lists!$E$2:$E$13,"Not Found"),"OK","Check Price")</f>
        <v>OK</v>
      </c>
    </row>
    <row r="706" spans="1:14" ht="15.5" hidden="1" thickTop="1" thickBot="1" x14ac:dyDescent="0.4">
      <c r="A706" s="36" t="str">
        <f t="shared" si="20"/>
        <v>ORD0705</v>
      </c>
      <c r="B706" s="34">
        <v>45373</v>
      </c>
      <c r="C706" s="38" t="s">
        <v>73</v>
      </c>
      <c r="D706" s="38" t="s">
        <v>45</v>
      </c>
      <c r="E706" s="38" t="s">
        <v>35</v>
      </c>
      <c r="F706" s="38" t="s">
        <v>31</v>
      </c>
      <c r="G706" s="38" t="s">
        <v>24</v>
      </c>
      <c r="H706" s="38">
        <v>10</v>
      </c>
      <c r="I706" s="38">
        <v>2000</v>
      </c>
      <c r="J706" s="38">
        <v>0.05</v>
      </c>
      <c r="K706" s="38">
        <f t="shared" si="21"/>
        <v>19000</v>
      </c>
      <c r="L706" s="38" t="s">
        <v>21</v>
      </c>
      <c r="M706" s="38" t="s">
        <v>38</v>
      </c>
      <c r="N706" s="4" t="str">
        <f>IF(I706=_xlfn.XLOOKUP(F706,Lists!$D$2:$D$13,Lists!$E$2:$E$13,"Not Found"),"OK","Check Price")</f>
        <v>Check Price</v>
      </c>
    </row>
    <row r="707" spans="1:14" ht="15.5" hidden="1" thickTop="1" thickBot="1" x14ac:dyDescent="0.4">
      <c r="A707" s="36" t="str">
        <f t="shared" ref="A707:A770" si="22">"ORD"&amp;TEXT(ROW()-1,"0000")</f>
        <v>ORD0706</v>
      </c>
      <c r="B707" s="34">
        <v>45729</v>
      </c>
      <c r="C707" s="37" t="s">
        <v>67</v>
      </c>
      <c r="D707" s="37" t="s">
        <v>17</v>
      </c>
      <c r="E707" s="37" t="s">
        <v>35</v>
      </c>
      <c r="F707" s="37" t="s">
        <v>31</v>
      </c>
      <c r="G707" s="37" t="s">
        <v>30</v>
      </c>
      <c r="H707" s="37">
        <v>1</v>
      </c>
      <c r="I707" s="37">
        <v>30000</v>
      </c>
      <c r="J707" s="37">
        <v>0.2</v>
      </c>
      <c r="K707" s="37">
        <f t="shared" ref="K707:K770" si="23">H707*I707*(1-J707)</f>
        <v>24000</v>
      </c>
      <c r="L707" s="37" t="s">
        <v>26</v>
      </c>
      <c r="M707" s="37" t="s">
        <v>27</v>
      </c>
      <c r="N707" s="4" t="str">
        <f>IF(I707=_xlfn.XLOOKUP(F707,Lists!$D$2:$D$13,Lists!$E$2:$E$13,"Not Found"),"OK","Check Price")</f>
        <v>Check Price</v>
      </c>
    </row>
    <row r="708" spans="1:14" ht="15.5" hidden="1" thickTop="1" thickBot="1" x14ac:dyDescent="0.4">
      <c r="A708" s="36" t="str">
        <f t="shared" si="22"/>
        <v>ORD0707</v>
      </c>
      <c r="B708" s="34">
        <v>45463</v>
      </c>
      <c r="C708" s="38" t="s">
        <v>72</v>
      </c>
      <c r="D708" s="38" t="s">
        <v>42</v>
      </c>
      <c r="E708" s="38" t="s">
        <v>80</v>
      </c>
      <c r="F708" s="38" t="s">
        <v>52</v>
      </c>
      <c r="G708" s="38" t="s">
        <v>24</v>
      </c>
      <c r="H708" s="38">
        <v>3</v>
      </c>
      <c r="I708" s="38">
        <v>28000</v>
      </c>
      <c r="J708" s="38">
        <v>0.1</v>
      </c>
      <c r="K708" s="38">
        <f t="shared" si="23"/>
        <v>75600</v>
      </c>
      <c r="L708" s="38" t="s">
        <v>21</v>
      </c>
      <c r="M708" s="38" t="s">
        <v>27</v>
      </c>
      <c r="N708" s="4" t="str">
        <f>IF(I708=_xlfn.XLOOKUP(F708,Lists!$D$2:$D$13,Lists!$E$2:$E$13,"Not Found"),"OK","Check Price")</f>
        <v>Check Price</v>
      </c>
    </row>
    <row r="709" spans="1:14" ht="15.5" hidden="1" thickTop="1" thickBot="1" x14ac:dyDescent="0.4">
      <c r="A709" s="36" t="str">
        <f t="shared" si="22"/>
        <v>ORD0708</v>
      </c>
      <c r="B709" s="34">
        <v>45837</v>
      </c>
      <c r="C709" s="37" t="s">
        <v>69</v>
      </c>
      <c r="D709" s="37" t="s">
        <v>39</v>
      </c>
      <c r="E709" s="37" t="s">
        <v>79</v>
      </c>
      <c r="F709" s="37" t="s">
        <v>36</v>
      </c>
      <c r="G709" s="37" t="s">
        <v>24</v>
      </c>
      <c r="H709" s="37">
        <v>10</v>
      </c>
      <c r="I709" s="37">
        <v>2500</v>
      </c>
      <c r="J709" s="37">
        <v>0.05</v>
      </c>
      <c r="K709" s="37">
        <f t="shared" si="23"/>
        <v>23750</v>
      </c>
      <c r="L709" s="37" t="s">
        <v>21</v>
      </c>
      <c r="M709" s="37" t="s">
        <v>22</v>
      </c>
      <c r="N709" s="4" t="str">
        <f>IF(I709=_xlfn.XLOOKUP(F709,Lists!$D$2:$D$13,Lists!$E$2:$E$13,"Not Found"),"OK","Check Price")</f>
        <v>OK</v>
      </c>
    </row>
    <row r="710" spans="1:14" ht="15.5" hidden="1" thickTop="1" thickBot="1" x14ac:dyDescent="0.4">
      <c r="A710" s="36" t="str">
        <f t="shared" si="22"/>
        <v>ORD0709</v>
      </c>
      <c r="B710" s="34">
        <v>45843</v>
      </c>
      <c r="C710" s="38" t="s">
        <v>69</v>
      </c>
      <c r="D710" s="38" t="s">
        <v>54</v>
      </c>
      <c r="E710" s="38" t="s">
        <v>35</v>
      </c>
      <c r="F710" s="38" t="s">
        <v>40</v>
      </c>
      <c r="G710" s="38" t="s">
        <v>30</v>
      </c>
      <c r="H710" s="38">
        <v>5</v>
      </c>
      <c r="I710" s="38">
        <v>2500</v>
      </c>
      <c r="J710" s="38">
        <v>0.15</v>
      </c>
      <c r="K710" s="38">
        <f t="shared" si="23"/>
        <v>10625</v>
      </c>
      <c r="L710" s="38" t="s">
        <v>50</v>
      </c>
      <c r="M710" s="38" t="s">
        <v>22</v>
      </c>
      <c r="N710" s="4" t="str">
        <f>IF(I710=_xlfn.XLOOKUP(F710,Lists!$D$2:$D$13,Lists!$E$2:$E$13,"Not Found"),"OK","Check Price")</f>
        <v>Check Price</v>
      </c>
    </row>
    <row r="711" spans="1:14" ht="15.5" thickTop="1" thickBot="1" x14ac:dyDescent="0.4">
      <c r="A711" s="36" t="str">
        <f t="shared" si="22"/>
        <v>ORD0710</v>
      </c>
      <c r="B711" s="34">
        <v>45514</v>
      </c>
      <c r="C711" s="37" t="s">
        <v>78</v>
      </c>
      <c r="D711" s="37" t="s">
        <v>28</v>
      </c>
      <c r="E711" s="37" t="s">
        <v>119</v>
      </c>
      <c r="F711" s="37" t="s">
        <v>20</v>
      </c>
      <c r="G711" s="35" t="str">
        <f>_xlfn.XLOOKUP(F711,Lists!$J$2:$J$13,Lists!$K$2:$K$13,"Not Found")</f>
        <v>Electronics</v>
      </c>
      <c r="H711" s="37">
        <v>10</v>
      </c>
      <c r="I711" s="35">
        <f>_xlfn.XLOOKUP(F711,Lists!$D$2:$D$13,Lists!$E$2:$E$13,"Not Found")</f>
        <v>85000</v>
      </c>
      <c r="J711" s="47">
        <v>0.15</v>
      </c>
      <c r="K711" s="35">
        <f>H711*I711*(1-J711)</f>
        <v>722500</v>
      </c>
      <c r="L711" s="37" t="s">
        <v>47</v>
      </c>
      <c r="M711" s="37" t="s">
        <v>27</v>
      </c>
      <c r="N711" s="4" t="str">
        <f>IF(I711=_xlfn.XLOOKUP(F711,Lists!$D$2:$D$13,Lists!$E$2:$E$13,"Not Found"),"OK","Check Price")</f>
        <v>OK</v>
      </c>
    </row>
    <row r="712" spans="1:14" ht="15.5" hidden="1" thickTop="1" thickBot="1" x14ac:dyDescent="0.4">
      <c r="A712" s="36" t="str">
        <f t="shared" si="22"/>
        <v>ORD0711</v>
      </c>
      <c r="B712" s="34">
        <v>45298</v>
      </c>
      <c r="C712" s="38" t="s">
        <v>78</v>
      </c>
      <c r="D712" s="38" t="s">
        <v>34</v>
      </c>
      <c r="E712" s="38" t="s">
        <v>80</v>
      </c>
      <c r="F712" s="38" t="s">
        <v>43</v>
      </c>
      <c r="G712" s="38" t="s">
        <v>19</v>
      </c>
      <c r="H712" s="38">
        <v>6</v>
      </c>
      <c r="I712" s="38">
        <v>28000</v>
      </c>
      <c r="J712" s="38">
        <v>0.1</v>
      </c>
      <c r="K712" s="38">
        <f t="shared" si="23"/>
        <v>151200</v>
      </c>
      <c r="L712" s="38" t="s">
        <v>21</v>
      </c>
      <c r="M712" s="38" t="s">
        <v>27</v>
      </c>
      <c r="N712" s="4" t="str">
        <f>IF(I712=_xlfn.XLOOKUP(F712,Lists!$D$2:$D$13,Lists!$E$2:$E$13,"Not Found"),"OK","Check Price")</f>
        <v>Check Price</v>
      </c>
    </row>
    <row r="713" spans="1:14" ht="15.5" thickTop="1" thickBot="1" x14ac:dyDescent="0.4">
      <c r="A713" s="36" t="str">
        <f t="shared" si="22"/>
        <v>ORD0712</v>
      </c>
      <c r="B713" s="34">
        <v>45596</v>
      </c>
      <c r="C713" s="37" t="s">
        <v>71</v>
      </c>
      <c r="D713" s="37" t="s">
        <v>45</v>
      </c>
      <c r="E713" s="37" t="s">
        <v>80</v>
      </c>
      <c r="F713" s="37" t="s">
        <v>55</v>
      </c>
      <c r="G713" s="35" t="str">
        <f>_xlfn.XLOOKUP(F713,Lists!$J$2:$J$13,Lists!$K$2:$K$13,"Not Found")</f>
        <v>Office Supplies</v>
      </c>
      <c r="H713" s="37">
        <v>5</v>
      </c>
      <c r="I713" s="35">
        <f>_xlfn.XLOOKUP(F713,Lists!$D$2:$D$13,Lists!$E$2:$E$13,"Not Found")</f>
        <v>1500</v>
      </c>
      <c r="J713" s="47">
        <v>0.1</v>
      </c>
      <c r="K713" s="35">
        <f>H713*I713*(1-J713)</f>
        <v>6750</v>
      </c>
      <c r="L713" s="37" t="s">
        <v>26</v>
      </c>
      <c r="M713" s="37" t="s">
        <v>33</v>
      </c>
      <c r="N713" s="4" t="str">
        <f>IF(I713=_xlfn.XLOOKUP(F713,Lists!$D$2:$D$13,Lists!$E$2:$E$13,"Not Found"),"OK","Check Price")</f>
        <v>OK</v>
      </c>
    </row>
    <row r="714" spans="1:14" ht="15.5" hidden="1" thickTop="1" thickBot="1" x14ac:dyDescent="0.4">
      <c r="A714" s="36" t="str">
        <f t="shared" si="22"/>
        <v>ORD0713</v>
      </c>
      <c r="B714" s="34">
        <v>45464</v>
      </c>
      <c r="C714" s="38" t="s">
        <v>61</v>
      </c>
      <c r="D714" s="38" t="s">
        <v>34</v>
      </c>
      <c r="E714" s="38" t="s">
        <v>29</v>
      </c>
      <c r="F714" s="38" t="s">
        <v>25</v>
      </c>
      <c r="G714" s="38" t="s">
        <v>19</v>
      </c>
      <c r="H714" s="38">
        <v>2</v>
      </c>
      <c r="I714" s="38">
        <v>2000</v>
      </c>
      <c r="J714" s="38">
        <v>0.1</v>
      </c>
      <c r="K714" s="38">
        <f t="shared" si="23"/>
        <v>3600</v>
      </c>
      <c r="L714" s="38" t="s">
        <v>41</v>
      </c>
      <c r="M714" s="38" t="s">
        <v>33</v>
      </c>
      <c r="N714" s="4" t="str">
        <f>IF(I714=_xlfn.XLOOKUP(F714,Lists!$D$2:$D$13,Lists!$E$2:$E$13,"Not Found"),"OK","Check Price")</f>
        <v>Check Price</v>
      </c>
    </row>
    <row r="715" spans="1:14" ht="15.5" thickTop="1" thickBot="1" x14ac:dyDescent="0.4">
      <c r="A715" s="36" t="str">
        <f t="shared" si="22"/>
        <v>ORD0714</v>
      </c>
      <c r="B715" s="34">
        <v>45711</v>
      </c>
      <c r="C715" s="37" t="s">
        <v>71</v>
      </c>
      <c r="D715" s="37" t="s">
        <v>48</v>
      </c>
      <c r="E715" s="37" t="s">
        <v>29</v>
      </c>
      <c r="F715" s="37" t="s">
        <v>20</v>
      </c>
      <c r="G715" s="35" t="str">
        <f>_xlfn.XLOOKUP(F715,Lists!$J$2:$J$13,Lists!$K$2:$K$13,"Not Found")</f>
        <v>Electronics</v>
      </c>
      <c r="H715" s="37">
        <v>2</v>
      </c>
      <c r="I715" s="35">
        <f>_xlfn.XLOOKUP(F715,Lists!$D$2:$D$13,Lists!$E$2:$E$13,"Not Found")</f>
        <v>85000</v>
      </c>
      <c r="J715" s="47">
        <v>0.05</v>
      </c>
      <c r="K715" s="35">
        <f>H715*I715*(1-J715)</f>
        <v>161500</v>
      </c>
      <c r="L715" s="37" t="s">
        <v>53</v>
      </c>
      <c r="M715" s="37" t="s">
        <v>22</v>
      </c>
      <c r="N715" s="4" t="str">
        <f>IF(I715=_xlfn.XLOOKUP(F715,Lists!$D$2:$D$13,Lists!$E$2:$E$13,"Not Found"),"OK","Check Price")</f>
        <v>OK</v>
      </c>
    </row>
    <row r="716" spans="1:14" ht="15.5" hidden="1" thickTop="1" thickBot="1" x14ac:dyDescent="0.4">
      <c r="A716" s="36" t="str">
        <f t="shared" si="22"/>
        <v>ORD0715</v>
      </c>
      <c r="B716" s="34">
        <v>45905</v>
      </c>
      <c r="C716" s="38" t="s">
        <v>64</v>
      </c>
      <c r="D716" s="38" t="s">
        <v>17</v>
      </c>
      <c r="E716" s="38" t="s">
        <v>35</v>
      </c>
      <c r="F716" s="38" t="s">
        <v>40</v>
      </c>
      <c r="G716" s="38" t="s">
        <v>30</v>
      </c>
      <c r="H716" s="38">
        <v>4</v>
      </c>
      <c r="I716" s="38">
        <v>1200</v>
      </c>
      <c r="J716" s="38">
        <v>0.2</v>
      </c>
      <c r="K716" s="38">
        <f t="shared" si="23"/>
        <v>3840</v>
      </c>
      <c r="L716" s="38" t="s">
        <v>41</v>
      </c>
      <c r="M716" s="38" t="s">
        <v>33</v>
      </c>
      <c r="N716" s="4" t="str">
        <f>IF(I716=_xlfn.XLOOKUP(F716,Lists!$D$2:$D$13,Lists!$E$2:$E$13,"Not Found"),"OK","Check Price")</f>
        <v>Check Price</v>
      </c>
    </row>
    <row r="717" spans="1:14" ht="15.5" hidden="1" thickTop="1" thickBot="1" x14ac:dyDescent="0.4">
      <c r="A717" s="36" t="str">
        <f t="shared" si="22"/>
        <v>ORD0716</v>
      </c>
      <c r="B717" s="34">
        <v>45535</v>
      </c>
      <c r="C717" s="37" t="s">
        <v>66</v>
      </c>
      <c r="D717" s="37" t="s">
        <v>42</v>
      </c>
      <c r="E717" s="37" t="s">
        <v>80</v>
      </c>
      <c r="F717" s="37" t="s">
        <v>31</v>
      </c>
      <c r="G717" s="37" t="s">
        <v>30</v>
      </c>
      <c r="H717" s="37">
        <v>7</v>
      </c>
      <c r="I717" s="37">
        <v>2500</v>
      </c>
      <c r="J717" s="37">
        <v>0.1</v>
      </c>
      <c r="K717" s="37">
        <f t="shared" si="23"/>
        <v>15750</v>
      </c>
      <c r="L717" s="37" t="s">
        <v>56</v>
      </c>
      <c r="M717" s="37" t="s">
        <v>33</v>
      </c>
      <c r="N717" s="4" t="str">
        <f>IF(I717=_xlfn.XLOOKUP(F717,Lists!$D$2:$D$13,Lists!$E$2:$E$13,"Not Found"),"OK","Check Price")</f>
        <v>Check Price</v>
      </c>
    </row>
    <row r="718" spans="1:14" ht="15.5" thickTop="1" thickBot="1" x14ac:dyDescent="0.4">
      <c r="A718" s="36" t="str">
        <f t="shared" si="22"/>
        <v>ORD0717</v>
      </c>
      <c r="B718" s="34">
        <v>45840</v>
      </c>
      <c r="C718" s="38" t="s">
        <v>62</v>
      </c>
      <c r="D718" s="38" t="s">
        <v>51</v>
      </c>
      <c r="E718" s="38" t="s">
        <v>119</v>
      </c>
      <c r="F718" s="38" t="s">
        <v>20</v>
      </c>
      <c r="G718" s="35" t="str">
        <f>_xlfn.XLOOKUP(F718,Lists!$J$2:$J$13,Lists!$K$2:$K$13,"Not Found")</f>
        <v>Electronics</v>
      </c>
      <c r="H718" s="38">
        <v>3</v>
      </c>
      <c r="I718" s="35">
        <f>_xlfn.XLOOKUP(F718,Lists!$D$2:$D$13,Lists!$E$2:$E$13,"Not Found")</f>
        <v>85000</v>
      </c>
      <c r="J718" s="48">
        <v>0.15</v>
      </c>
      <c r="K718" s="35">
        <f>H718*I718*(1-J718)</f>
        <v>216750</v>
      </c>
      <c r="L718" s="38" t="s">
        <v>41</v>
      </c>
      <c r="M718" s="38" t="s">
        <v>33</v>
      </c>
      <c r="N718" s="4" t="str">
        <f>IF(I718=_xlfn.XLOOKUP(F718,Lists!$D$2:$D$13,Lists!$E$2:$E$13,"Not Found"),"OK","Check Price")</f>
        <v>OK</v>
      </c>
    </row>
    <row r="719" spans="1:14" ht="15.5" hidden="1" thickTop="1" thickBot="1" x14ac:dyDescent="0.4">
      <c r="A719" s="36" t="str">
        <f t="shared" si="22"/>
        <v>ORD0718</v>
      </c>
      <c r="B719" s="34">
        <v>45367</v>
      </c>
      <c r="C719" s="37" t="s">
        <v>61</v>
      </c>
      <c r="D719" s="37" t="s">
        <v>23</v>
      </c>
      <c r="E719" s="37" t="s">
        <v>80</v>
      </c>
      <c r="F719" s="37" t="s">
        <v>40</v>
      </c>
      <c r="G719" s="37" t="s">
        <v>24</v>
      </c>
      <c r="H719" s="37">
        <v>1</v>
      </c>
      <c r="I719" s="37">
        <v>85000</v>
      </c>
      <c r="J719" s="37">
        <v>0.05</v>
      </c>
      <c r="K719" s="37">
        <f t="shared" si="23"/>
        <v>80750</v>
      </c>
      <c r="L719" s="37" t="s">
        <v>44</v>
      </c>
      <c r="M719" s="37" t="s">
        <v>22</v>
      </c>
      <c r="N719" s="4" t="str">
        <f>IF(I719=_xlfn.XLOOKUP(F719,Lists!$D$2:$D$13,Lists!$E$2:$E$13,"Not Found"),"OK","Check Price")</f>
        <v>Check Price</v>
      </c>
    </row>
    <row r="720" spans="1:14" ht="15.5" hidden="1" thickTop="1" thickBot="1" x14ac:dyDescent="0.4">
      <c r="A720" s="36" t="str">
        <f t="shared" si="22"/>
        <v>ORD0719</v>
      </c>
      <c r="B720" s="34">
        <v>45748</v>
      </c>
      <c r="C720" s="38" t="s">
        <v>69</v>
      </c>
      <c r="D720" s="38" t="s">
        <v>34</v>
      </c>
      <c r="E720" s="38" t="s">
        <v>35</v>
      </c>
      <c r="F720" s="38" t="s">
        <v>31</v>
      </c>
      <c r="G720" s="38" t="s">
        <v>19</v>
      </c>
      <c r="H720" s="38">
        <v>3</v>
      </c>
      <c r="I720" s="38">
        <v>350</v>
      </c>
      <c r="J720" s="38">
        <v>0.05</v>
      </c>
      <c r="K720" s="38">
        <f t="shared" si="23"/>
        <v>997.5</v>
      </c>
      <c r="L720" s="38" t="s">
        <v>44</v>
      </c>
      <c r="M720" s="38" t="s">
        <v>33</v>
      </c>
      <c r="N720" s="4" t="str">
        <f>IF(I720=_xlfn.XLOOKUP(F720,Lists!$D$2:$D$13,Lists!$E$2:$E$13,"Not Found"),"OK","Check Price")</f>
        <v>Check Price</v>
      </c>
    </row>
    <row r="721" spans="1:14" ht="15.5" thickTop="1" thickBot="1" x14ac:dyDescent="0.4">
      <c r="A721" s="36" t="str">
        <f t="shared" si="22"/>
        <v>ORD0720</v>
      </c>
      <c r="B721" s="34">
        <v>45895</v>
      </c>
      <c r="C721" s="37" t="s">
        <v>71</v>
      </c>
      <c r="D721" s="37" t="s">
        <v>17</v>
      </c>
      <c r="E721" s="37" t="s">
        <v>35</v>
      </c>
      <c r="F721" s="37" t="s">
        <v>55</v>
      </c>
      <c r="G721" s="35" t="str">
        <f>_xlfn.XLOOKUP(F721,Lists!$J$2:$J$13,Lists!$K$2:$K$13,"Not Found")</f>
        <v>Office Supplies</v>
      </c>
      <c r="H721" s="37">
        <v>5</v>
      </c>
      <c r="I721" s="35">
        <f>_xlfn.XLOOKUP(F721,Lists!$D$2:$D$13,Lists!$E$2:$E$13,"Not Found")</f>
        <v>1500</v>
      </c>
      <c r="J721" s="47">
        <v>0.15</v>
      </c>
      <c r="K721" s="35">
        <f>H721*I721*(1-J721)</f>
        <v>6375</v>
      </c>
      <c r="L721" s="37" t="s">
        <v>26</v>
      </c>
      <c r="M721" s="37" t="s">
        <v>38</v>
      </c>
      <c r="N721" s="4" t="str">
        <f>IF(I721=_xlfn.XLOOKUP(F721,Lists!$D$2:$D$13,Lists!$E$2:$E$13,"Not Found"),"OK","Check Price")</f>
        <v>OK</v>
      </c>
    </row>
    <row r="722" spans="1:14" ht="15.5" hidden="1" thickTop="1" thickBot="1" x14ac:dyDescent="0.4">
      <c r="A722" s="36" t="str">
        <f t="shared" si="22"/>
        <v>ORD0721</v>
      </c>
      <c r="B722" s="34">
        <v>45641</v>
      </c>
      <c r="C722" s="38" t="s">
        <v>75</v>
      </c>
      <c r="D722" s="38" t="s">
        <v>34</v>
      </c>
      <c r="E722" s="38" t="s">
        <v>79</v>
      </c>
      <c r="F722" s="38" t="s">
        <v>43</v>
      </c>
      <c r="G722" s="38" t="s">
        <v>19</v>
      </c>
      <c r="H722" s="38">
        <v>6</v>
      </c>
      <c r="I722" s="38">
        <v>28000</v>
      </c>
      <c r="J722" s="38">
        <v>0.1</v>
      </c>
      <c r="K722" s="38">
        <f t="shared" si="23"/>
        <v>151200</v>
      </c>
      <c r="L722" s="38" t="s">
        <v>44</v>
      </c>
      <c r="M722" s="38" t="s">
        <v>27</v>
      </c>
      <c r="N722" s="4" t="str">
        <f>IF(I722=_xlfn.XLOOKUP(F722,Lists!$D$2:$D$13,Lists!$E$2:$E$13,"Not Found"),"OK","Check Price")</f>
        <v>Check Price</v>
      </c>
    </row>
    <row r="723" spans="1:14" ht="15.5" hidden="1" thickTop="1" thickBot="1" x14ac:dyDescent="0.4">
      <c r="A723" s="36" t="str">
        <f t="shared" si="22"/>
        <v>ORD0722</v>
      </c>
      <c r="B723" s="34">
        <v>46013</v>
      </c>
      <c r="C723" s="37" t="s">
        <v>75</v>
      </c>
      <c r="D723" s="37" t="s">
        <v>34</v>
      </c>
      <c r="E723" s="37" t="s">
        <v>29</v>
      </c>
      <c r="F723" s="37" t="s">
        <v>57</v>
      </c>
      <c r="G723" s="37" t="s">
        <v>24</v>
      </c>
      <c r="H723" s="37">
        <v>8</v>
      </c>
      <c r="I723" s="37">
        <v>2500</v>
      </c>
      <c r="J723" s="37">
        <v>0.05</v>
      </c>
      <c r="K723" s="37">
        <f t="shared" si="23"/>
        <v>19000</v>
      </c>
      <c r="L723" s="37" t="s">
        <v>47</v>
      </c>
      <c r="M723" s="37" t="s">
        <v>38</v>
      </c>
      <c r="N723" s="4" t="str">
        <f>IF(I723=_xlfn.XLOOKUP(F723,Lists!$D$2:$D$13,Lists!$E$2:$E$13,"Not Found"),"OK","Check Price")</f>
        <v>Check Price</v>
      </c>
    </row>
    <row r="724" spans="1:14" ht="15.5" hidden="1" thickTop="1" thickBot="1" x14ac:dyDescent="0.4">
      <c r="A724" s="36" t="str">
        <f t="shared" si="22"/>
        <v>ORD0723</v>
      </c>
      <c r="B724" s="34">
        <v>45492</v>
      </c>
      <c r="C724" s="38" t="s">
        <v>67</v>
      </c>
      <c r="D724" s="38" t="s">
        <v>39</v>
      </c>
      <c r="E724" s="38" t="s">
        <v>29</v>
      </c>
      <c r="F724" s="38" t="s">
        <v>25</v>
      </c>
      <c r="G724" s="38" t="s">
        <v>30</v>
      </c>
      <c r="H724" s="38">
        <v>6</v>
      </c>
      <c r="I724" s="38">
        <v>22000</v>
      </c>
      <c r="J724" s="38">
        <v>0.1</v>
      </c>
      <c r="K724" s="38">
        <f t="shared" si="23"/>
        <v>118800</v>
      </c>
      <c r="L724" s="38" t="s">
        <v>53</v>
      </c>
      <c r="M724" s="38" t="s">
        <v>38</v>
      </c>
      <c r="N724" s="4" t="str">
        <f>IF(I724=_xlfn.XLOOKUP(F724,Lists!$D$2:$D$13,Lists!$E$2:$E$13,"Not Found"),"OK","Check Price")</f>
        <v>Check Price</v>
      </c>
    </row>
    <row r="725" spans="1:14" ht="15.5" thickTop="1" thickBot="1" x14ac:dyDescent="0.4">
      <c r="A725" s="36" t="str">
        <f t="shared" si="22"/>
        <v>ORD0724</v>
      </c>
      <c r="B725" s="34">
        <v>45494</v>
      </c>
      <c r="C725" s="37" t="s">
        <v>77</v>
      </c>
      <c r="D725" s="37" t="s">
        <v>48</v>
      </c>
      <c r="E725" s="37" t="s">
        <v>119</v>
      </c>
      <c r="F725" s="37" t="s">
        <v>20</v>
      </c>
      <c r="G725" s="35" t="str">
        <f>_xlfn.XLOOKUP(F725,Lists!$J$2:$J$13,Lists!$K$2:$K$13,"Not Found")</f>
        <v>Electronics</v>
      </c>
      <c r="H725" s="37">
        <v>8</v>
      </c>
      <c r="I725" s="35">
        <f>_xlfn.XLOOKUP(F725,Lists!$D$2:$D$13,Lists!$E$2:$E$13,"Not Found")</f>
        <v>85000</v>
      </c>
      <c r="J725" s="47">
        <v>0.1</v>
      </c>
      <c r="K725" s="35">
        <f>H725*I725*(1-J725)</f>
        <v>612000</v>
      </c>
      <c r="L725" s="37" t="s">
        <v>26</v>
      </c>
      <c r="M725" s="37" t="s">
        <v>33</v>
      </c>
      <c r="N725" s="4" t="str">
        <f>IF(I725=_xlfn.XLOOKUP(F725,Lists!$D$2:$D$13,Lists!$E$2:$E$13,"Not Found"),"OK","Check Price")</f>
        <v>OK</v>
      </c>
    </row>
    <row r="726" spans="1:14" ht="15.5" hidden="1" thickTop="1" thickBot="1" x14ac:dyDescent="0.4">
      <c r="A726" s="36" t="str">
        <f t="shared" si="22"/>
        <v>ORD0725</v>
      </c>
      <c r="B726" s="34">
        <v>45711</v>
      </c>
      <c r="C726" s="38" t="s">
        <v>72</v>
      </c>
      <c r="D726" s="38" t="s">
        <v>45</v>
      </c>
      <c r="E726" s="38" t="s">
        <v>29</v>
      </c>
      <c r="F726" s="38" t="s">
        <v>58</v>
      </c>
      <c r="G726" s="38" t="s">
        <v>19</v>
      </c>
      <c r="H726" s="38">
        <v>2</v>
      </c>
      <c r="I726" s="38">
        <v>1500</v>
      </c>
      <c r="J726" s="38">
        <v>0.1</v>
      </c>
      <c r="K726" s="38">
        <f t="shared" si="23"/>
        <v>2700</v>
      </c>
      <c r="L726" s="38" t="s">
        <v>53</v>
      </c>
      <c r="M726" s="38" t="s">
        <v>27</v>
      </c>
      <c r="N726" s="4" t="str">
        <f>IF(I726=_xlfn.XLOOKUP(F726,Lists!$D$2:$D$13,Lists!$E$2:$E$13,"Not Found"),"OK","Check Price")</f>
        <v>Check Price</v>
      </c>
    </row>
    <row r="727" spans="1:14" ht="15.5" hidden="1" thickTop="1" thickBot="1" x14ac:dyDescent="0.4">
      <c r="A727" s="36" t="str">
        <f t="shared" si="22"/>
        <v>ORD0726</v>
      </c>
      <c r="B727" s="34">
        <v>45842</v>
      </c>
      <c r="C727" s="37" t="s">
        <v>74</v>
      </c>
      <c r="D727" s="37" t="s">
        <v>45</v>
      </c>
      <c r="E727" s="37" t="s">
        <v>29</v>
      </c>
      <c r="F727" s="37" t="s">
        <v>36</v>
      </c>
      <c r="G727" s="37" t="s">
        <v>24</v>
      </c>
      <c r="H727" s="37">
        <v>6</v>
      </c>
      <c r="I727" s="37">
        <v>5000</v>
      </c>
      <c r="J727" s="37">
        <v>0.15</v>
      </c>
      <c r="K727" s="37">
        <f t="shared" si="23"/>
        <v>25500</v>
      </c>
      <c r="L727" s="37" t="s">
        <v>26</v>
      </c>
      <c r="M727" s="37" t="s">
        <v>33</v>
      </c>
      <c r="N727" s="4" t="str">
        <f>IF(I727=_xlfn.XLOOKUP(F727,Lists!$D$2:$D$13,Lists!$E$2:$E$13,"Not Found"),"OK","Check Price")</f>
        <v>Check Price</v>
      </c>
    </row>
    <row r="728" spans="1:14" ht="15.5" hidden="1" thickTop="1" thickBot="1" x14ac:dyDescent="0.4">
      <c r="A728" s="36" t="str">
        <f t="shared" si="22"/>
        <v>ORD0727</v>
      </c>
      <c r="B728" s="34">
        <v>45425</v>
      </c>
      <c r="C728" s="38" t="s">
        <v>59</v>
      </c>
      <c r="D728" s="38" t="s">
        <v>34</v>
      </c>
      <c r="E728" s="38" t="s">
        <v>79</v>
      </c>
      <c r="F728" s="38" t="s">
        <v>31</v>
      </c>
      <c r="G728" s="38" t="s">
        <v>30</v>
      </c>
      <c r="H728" s="38">
        <v>2</v>
      </c>
      <c r="I728" s="38">
        <v>85000</v>
      </c>
      <c r="J728" s="38">
        <v>0.15</v>
      </c>
      <c r="K728" s="38">
        <f t="shared" si="23"/>
        <v>144500</v>
      </c>
      <c r="L728" s="38" t="s">
        <v>56</v>
      </c>
      <c r="M728" s="38" t="s">
        <v>27</v>
      </c>
      <c r="N728" s="4" t="str">
        <f>IF(I728=_xlfn.XLOOKUP(F728,Lists!$D$2:$D$13,Lists!$E$2:$E$13,"Not Found"),"OK","Check Price")</f>
        <v>Check Price</v>
      </c>
    </row>
    <row r="729" spans="1:14" ht="15.5" hidden="1" thickTop="1" thickBot="1" x14ac:dyDescent="0.4">
      <c r="A729" s="36" t="str">
        <f t="shared" si="22"/>
        <v>ORD0728</v>
      </c>
      <c r="B729" s="34">
        <v>45841</v>
      </c>
      <c r="C729" s="37" t="s">
        <v>65</v>
      </c>
      <c r="D729" s="37" t="s">
        <v>23</v>
      </c>
      <c r="E729" s="37" t="s">
        <v>119</v>
      </c>
      <c r="F729" s="37" t="s">
        <v>43</v>
      </c>
      <c r="G729" s="37" t="s">
        <v>19</v>
      </c>
      <c r="H729" s="37">
        <v>2</v>
      </c>
      <c r="I729" s="37">
        <v>22000</v>
      </c>
      <c r="J729" s="37">
        <v>0.25</v>
      </c>
      <c r="K729" s="37">
        <f t="shared" si="23"/>
        <v>33000</v>
      </c>
      <c r="L729" s="37" t="s">
        <v>50</v>
      </c>
      <c r="M729" s="37" t="s">
        <v>33</v>
      </c>
      <c r="N729" s="4" t="str">
        <f>IF(I729=_xlfn.XLOOKUP(F729,Lists!$D$2:$D$13,Lists!$E$2:$E$13,"Not Found"),"OK","Check Price")</f>
        <v>Check Price</v>
      </c>
    </row>
    <row r="730" spans="1:14" ht="15.5" hidden="1" thickTop="1" thickBot="1" x14ac:dyDescent="0.4">
      <c r="A730" s="36" t="str">
        <f t="shared" si="22"/>
        <v>ORD0729</v>
      </c>
      <c r="B730" s="34">
        <v>45485</v>
      </c>
      <c r="C730" s="38" t="s">
        <v>75</v>
      </c>
      <c r="D730" s="38" t="s">
        <v>51</v>
      </c>
      <c r="E730" s="38" t="s">
        <v>29</v>
      </c>
      <c r="F730" s="38" t="s">
        <v>31</v>
      </c>
      <c r="G730" s="38" t="s">
        <v>19</v>
      </c>
      <c r="H730" s="38">
        <v>2</v>
      </c>
      <c r="I730" s="38">
        <v>28000</v>
      </c>
      <c r="J730" s="38">
        <v>0.25</v>
      </c>
      <c r="K730" s="38">
        <f t="shared" si="23"/>
        <v>42000</v>
      </c>
      <c r="L730" s="38" t="s">
        <v>41</v>
      </c>
      <c r="M730" s="38" t="s">
        <v>38</v>
      </c>
      <c r="N730" s="4" t="str">
        <f>IF(I730=_xlfn.XLOOKUP(F730,Lists!$D$2:$D$13,Lists!$E$2:$E$13,"Not Found"),"OK","Check Price")</f>
        <v>Check Price</v>
      </c>
    </row>
    <row r="731" spans="1:14" ht="15.5" hidden="1" thickTop="1" thickBot="1" x14ac:dyDescent="0.4">
      <c r="A731" s="36" t="str">
        <f t="shared" si="22"/>
        <v>ORD0730</v>
      </c>
      <c r="B731" s="34">
        <v>45855</v>
      </c>
      <c r="C731" s="37" t="s">
        <v>74</v>
      </c>
      <c r="D731" s="37" t="s">
        <v>17</v>
      </c>
      <c r="E731" s="37" t="s">
        <v>35</v>
      </c>
      <c r="F731" s="37" t="s">
        <v>52</v>
      </c>
      <c r="G731" s="37" t="s">
        <v>30</v>
      </c>
      <c r="H731" s="37">
        <v>9</v>
      </c>
      <c r="I731" s="37">
        <v>350</v>
      </c>
      <c r="J731" s="37">
        <v>0.1</v>
      </c>
      <c r="K731" s="37">
        <f t="shared" si="23"/>
        <v>2835</v>
      </c>
      <c r="L731" s="37" t="s">
        <v>32</v>
      </c>
      <c r="M731" s="37" t="s">
        <v>38</v>
      </c>
      <c r="N731" s="4" t="str">
        <f>IF(I731=_xlfn.XLOOKUP(F731,Lists!$D$2:$D$13,Lists!$E$2:$E$13,"Not Found"),"OK","Check Price")</f>
        <v>Check Price</v>
      </c>
    </row>
    <row r="732" spans="1:14" ht="15.5" thickTop="1" thickBot="1" x14ac:dyDescent="0.4">
      <c r="A732" s="36" t="str">
        <f t="shared" si="22"/>
        <v>ORD0731</v>
      </c>
      <c r="B732" s="34">
        <v>45955</v>
      </c>
      <c r="C732" s="38" t="s">
        <v>62</v>
      </c>
      <c r="D732" s="38" t="s">
        <v>54</v>
      </c>
      <c r="E732" s="38" t="s">
        <v>29</v>
      </c>
      <c r="F732" s="38" t="s">
        <v>55</v>
      </c>
      <c r="G732" s="35" t="str">
        <f>_xlfn.XLOOKUP(F732,Lists!$J$2:$J$13,Lists!$K$2:$K$13,"Not Found")</f>
        <v>Office Supplies</v>
      </c>
      <c r="H732" s="38">
        <v>7</v>
      </c>
      <c r="I732" s="35">
        <f>_xlfn.XLOOKUP(F732,Lists!$D$2:$D$13,Lists!$E$2:$E$13,"Not Found")</f>
        <v>1500</v>
      </c>
      <c r="J732" s="48">
        <v>0.1</v>
      </c>
      <c r="K732" s="35">
        <f>H732*I732*(1-J732)</f>
        <v>9450</v>
      </c>
      <c r="L732" s="38" t="s">
        <v>32</v>
      </c>
      <c r="M732" s="38" t="s">
        <v>33</v>
      </c>
      <c r="N732" s="4" t="str">
        <f>IF(I732=_xlfn.XLOOKUP(F732,Lists!$D$2:$D$13,Lists!$E$2:$E$13,"Not Found"),"OK","Check Price")</f>
        <v>OK</v>
      </c>
    </row>
    <row r="733" spans="1:14" ht="15.5" hidden="1" thickTop="1" thickBot="1" x14ac:dyDescent="0.4">
      <c r="A733" s="36" t="str">
        <f t="shared" si="22"/>
        <v>ORD0732</v>
      </c>
      <c r="B733" s="34">
        <v>45847</v>
      </c>
      <c r="C733" s="37" t="s">
        <v>76</v>
      </c>
      <c r="D733" s="37" t="s">
        <v>39</v>
      </c>
      <c r="E733" s="37" t="s">
        <v>18</v>
      </c>
      <c r="F733" s="37" t="s">
        <v>36</v>
      </c>
      <c r="G733" s="37" t="s">
        <v>19</v>
      </c>
      <c r="H733" s="37">
        <v>8</v>
      </c>
      <c r="I733" s="37">
        <v>1200</v>
      </c>
      <c r="J733" s="37">
        <v>0.1</v>
      </c>
      <c r="K733" s="37">
        <f t="shared" si="23"/>
        <v>8640</v>
      </c>
      <c r="L733" s="37" t="s">
        <v>50</v>
      </c>
      <c r="M733" s="37" t="s">
        <v>27</v>
      </c>
      <c r="N733" s="4" t="str">
        <f>IF(I733=_xlfn.XLOOKUP(F733,Lists!$D$2:$D$13,Lists!$E$2:$E$13,"Not Found"),"OK","Check Price")</f>
        <v>Check Price</v>
      </c>
    </row>
    <row r="734" spans="1:14" ht="15.5" hidden="1" thickTop="1" thickBot="1" x14ac:dyDescent="0.4">
      <c r="A734" s="36" t="str">
        <f t="shared" si="22"/>
        <v>ORD0733</v>
      </c>
      <c r="B734" s="34">
        <v>45531</v>
      </c>
      <c r="C734" s="38" t="s">
        <v>61</v>
      </c>
      <c r="D734" s="38" t="s">
        <v>34</v>
      </c>
      <c r="E734" s="38" t="s">
        <v>29</v>
      </c>
      <c r="F734" s="38" t="s">
        <v>25</v>
      </c>
      <c r="G734" s="38" t="s">
        <v>19</v>
      </c>
      <c r="H734" s="38">
        <v>6</v>
      </c>
      <c r="I734" s="38">
        <v>85000</v>
      </c>
      <c r="J734" s="38">
        <v>0.25</v>
      </c>
      <c r="K734" s="38">
        <f t="shared" si="23"/>
        <v>382500</v>
      </c>
      <c r="L734" s="38" t="s">
        <v>47</v>
      </c>
      <c r="M734" s="38" t="s">
        <v>38</v>
      </c>
      <c r="N734" s="4" t="str">
        <f>IF(I734=_xlfn.XLOOKUP(F734,Lists!$D$2:$D$13,Lists!$E$2:$E$13,"Not Found"),"OK","Check Price")</f>
        <v>Check Price</v>
      </c>
    </row>
    <row r="735" spans="1:14" ht="15.5" hidden="1" thickTop="1" thickBot="1" x14ac:dyDescent="0.4">
      <c r="A735" s="36" t="str">
        <f t="shared" si="22"/>
        <v>ORD0734</v>
      </c>
      <c r="B735" s="34">
        <v>45930</v>
      </c>
      <c r="C735" s="37" t="s">
        <v>69</v>
      </c>
      <c r="D735" s="37" t="s">
        <v>17</v>
      </c>
      <c r="E735" s="37" t="s">
        <v>18</v>
      </c>
      <c r="F735" s="37" t="s">
        <v>36</v>
      </c>
      <c r="G735" s="37" t="s">
        <v>24</v>
      </c>
      <c r="H735" s="37">
        <v>4</v>
      </c>
      <c r="I735" s="37">
        <v>5000</v>
      </c>
      <c r="J735" s="37">
        <v>0.25</v>
      </c>
      <c r="K735" s="37">
        <f t="shared" si="23"/>
        <v>15000</v>
      </c>
      <c r="L735" s="37" t="s">
        <v>50</v>
      </c>
      <c r="M735" s="37" t="s">
        <v>38</v>
      </c>
      <c r="N735" s="4" t="str">
        <f>IF(I735=_xlfn.XLOOKUP(F735,Lists!$D$2:$D$13,Lists!$E$2:$E$13,"Not Found"),"OK","Check Price")</f>
        <v>Check Price</v>
      </c>
    </row>
    <row r="736" spans="1:14" ht="15.5" hidden="1" thickTop="1" thickBot="1" x14ac:dyDescent="0.4">
      <c r="A736" s="36" t="str">
        <f t="shared" si="22"/>
        <v>ORD0735</v>
      </c>
      <c r="B736" s="34">
        <v>45952</v>
      </c>
      <c r="C736" s="38" t="s">
        <v>70</v>
      </c>
      <c r="D736" s="38" t="s">
        <v>34</v>
      </c>
      <c r="E736" s="38" t="s">
        <v>80</v>
      </c>
      <c r="F736" s="38" t="s">
        <v>49</v>
      </c>
      <c r="G736" s="38" t="s">
        <v>30</v>
      </c>
      <c r="H736" s="38">
        <v>10</v>
      </c>
      <c r="I736" s="38">
        <v>22000</v>
      </c>
      <c r="J736" s="38">
        <v>0.2</v>
      </c>
      <c r="K736" s="38">
        <f t="shared" si="23"/>
        <v>176000</v>
      </c>
      <c r="L736" s="38" t="s">
        <v>47</v>
      </c>
      <c r="M736" s="38" t="s">
        <v>33</v>
      </c>
      <c r="N736" s="4" t="str">
        <f>IF(I736=_xlfn.XLOOKUP(F736,Lists!$D$2:$D$13,Lists!$E$2:$E$13,"Not Found"),"OK","Check Price")</f>
        <v>Check Price</v>
      </c>
    </row>
    <row r="737" spans="1:14" ht="15.5" thickTop="1" thickBot="1" x14ac:dyDescent="0.4">
      <c r="A737" s="36" t="str">
        <f t="shared" si="22"/>
        <v>ORD0736</v>
      </c>
      <c r="B737" s="34">
        <v>45887</v>
      </c>
      <c r="C737" s="37" t="s">
        <v>78</v>
      </c>
      <c r="D737" s="37" t="s">
        <v>45</v>
      </c>
      <c r="E737" s="37" t="s">
        <v>35</v>
      </c>
      <c r="F737" s="37" t="s">
        <v>20</v>
      </c>
      <c r="G737" s="35" t="str">
        <f>_xlfn.XLOOKUP(F737,Lists!$J$2:$J$13,Lists!$K$2:$K$13,"Not Found")</f>
        <v>Electronics</v>
      </c>
      <c r="H737" s="37">
        <v>2</v>
      </c>
      <c r="I737" s="35">
        <f>_xlfn.XLOOKUP(F737,Lists!$D$2:$D$13,Lists!$E$2:$E$13,"Not Found")</f>
        <v>85000</v>
      </c>
      <c r="J737" s="47">
        <v>0.1</v>
      </c>
      <c r="K737" s="35">
        <f>H737*I737*(1-J737)</f>
        <v>153000</v>
      </c>
      <c r="L737" s="37" t="s">
        <v>41</v>
      </c>
      <c r="M737" s="37" t="s">
        <v>27</v>
      </c>
      <c r="N737" s="4" t="str">
        <f>IF(I737=_xlfn.XLOOKUP(F737,Lists!$D$2:$D$13,Lists!$E$2:$E$13,"Not Found"),"OK","Check Price")</f>
        <v>OK</v>
      </c>
    </row>
    <row r="738" spans="1:14" ht="15.5" hidden="1" thickTop="1" thickBot="1" x14ac:dyDescent="0.4">
      <c r="A738" s="36" t="str">
        <f t="shared" si="22"/>
        <v>ORD0737</v>
      </c>
      <c r="B738" s="34">
        <v>45484</v>
      </c>
      <c r="C738" s="38" t="s">
        <v>75</v>
      </c>
      <c r="D738" s="38" t="s">
        <v>23</v>
      </c>
      <c r="E738" s="38" t="s">
        <v>80</v>
      </c>
      <c r="F738" s="38" t="s">
        <v>58</v>
      </c>
      <c r="G738" s="38" t="s">
        <v>19</v>
      </c>
      <c r="H738" s="38">
        <v>6</v>
      </c>
      <c r="I738" s="38">
        <v>2500</v>
      </c>
      <c r="J738" s="38">
        <v>0.25</v>
      </c>
      <c r="K738" s="38">
        <f t="shared" si="23"/>
        <v>11250</v>
      </c>
      <c r="L738" s="38" t="s">
        <v>32</v>
      </c>
      <c r="M738" s="38" t="s">
        <v>27</v>
      </c>
      <c r="N738" s="4" t="str">
        <f>IF(I738=_xlfn.XLOOKUP(F738,Lists!$D$2:$D$13,Lists!$E$2:$E$13,"Not Found"),"OK","Check Price")</f>
        <v>Check Price</v>
      </c>
    </row>
    <row r="739" spans="1:14" ht="15.5" hidden="1" thickTop="1" thickBot="1" x14ac:dyDescent="0.4">
      <c r="A739" s="36" t="str">
        <f t="shared" si="22"/>
        <v>ORD0738</v>
      </c>
      <c r="B739" s="34">
        <v>46013</v>
      </c>
      <c r="C739" s="37" t="s">
        <v>62</v>
      </c>
      <c r="D739" s="37" t="s">
        <v>48</v>
      </c>
      <c r="E739" s="37" t="s">
        <v>35</v>
      </c>
      <c r="F739" s="37" t="s">
        <v>58</v>
      </c>
      <c r="G739" s="37" t="s">
        <v>19</v>
      </c>
      <c r="H739" s="37">
        <v>3</v>
      </c>
      <c r="I739" s="37">
        <v>85000</v>
      </c>
      <c r="J739" s="37">
        <v>0.1</v>
      </c>
      <c r="K739" s="37">
        <f t="shared" si="23"/>
        <v>229500</v>
      </c>
      <c r="L739" s="37" t="s">
        <v>50</v>
      </c>
      <c r="M739" s="37" t="s">
        <v>33</v>
      </c>
      <c r="N739" s="4" t="str">
        <f>IF(I739=_xlfn.XLOOKUP(F739,Lists!$D$2:$D$13,Lists!$E$2:$E$13,"Not Found"),"OK","Check Price")</f>
        <v>Check Price</v>
      </c>
    </row>
    <row r="740" spans="1:14" ht="15.5" hidden="1" thickTop="1" thickBot="1" x14ac:dyDescent="0.4">
      <c r="A740" s="36" t="str">
        <f t="shared" si="22"/>
        <v>ORD0739</v>
      </c>
      <c r="B740" s="34">
        <v>45433</v>
      </c>
      <c r="C740" s="38" t="s">
        <v>77</v>
      </c>
      <c r="D740" s="38" t="s">
        <v>45</v>
      </c>
      <c r="E740" s="38" t="s">
        <v>29</v>
      </c>
      <c r="F740" s="38" t="s">
        <v>43</v>
      </c>
      <c r="G740" s="38" t="s">
        <v>24</v>
      </c>
      <c r="H740" s="38">
        <v>6</v>
      </c>
      <c r="I740" s="38">
        <v>1200</v>
      </c>
      <c r="J740" s="38">
        <v>0.05</v>
      </c>
      <c r="K740" s="38">
        <f t="shared" si="23"/>
        <v>6840</v>
      </c>
      <c r="L740" s="38" t="s">
        <v>56</v>
      </c>
      <c r="M740" s="38" t="s">
        <v>27</v>
      </c>
      <c r="N740" s="4" t="str">
        <f>IF(I740=_xlfn.XLOOKUP(F740,Lists!$D$2:$D$13,Lists!$E$2:$E$13,"Not Found"),"OK","Check Price")</f>
        <v>Check Price</v>
      </c>
    </row>
    <row r="741" spans="1:14" ht="15.5" thickTop="1" thickBot="1" x14ac:dyDescent="0.4">
      <c r="A741" s="36" t="str">
        <f t="shared" si="22"/>
        <v>ORD0740</v>
      </c>
      <c r="B741" s="34">
        <v>45590</v>
      </c>
      <c r="C741" s="37" t="s">
        <v>74</v>
      </c>
      <c r="D741" s="37" t="s">
        <v>17</v>
      </c>
      <c r="E741" s="37" t="s">
        <v>18</v>
      </c>
      <c r="F741" s="37" t="s">
        <v>46</v>
      </c>
      <c r="G741" s="35" t="str">
        <f>_xlfn.XLOOKUP(F741,Lists!$J$2:$J$13,Lists!$K$2:$K$13,"Not Found")</f>
        <v>Furniture</v>
      </c>
      <c r="H741" s="37">
        <v>1</v>
      </c>
      <c r="I741" s="35">
        <f>_xlfn.XLOOKUP(F741,Lists!$D$2:$D$13,Lists!$E$2:$E$13,"Not Found")</f>
        <v>22000</v>
      </c>
      <c r="J741" s="47">
        <v>0.25</v>
      </c>
      <c r="K741" s="35">
        <f>H741*I741*(1-J741)</f>
        <v>16500</v>
      </c>
      <c r="L741" s="37" t="s">
        <v>56</v>
      </c>
      <c r="M741" s="37" t="s">
        <v>38</v>
      </c>
      <c r="N741" s="4" t="str">
        <f>IF(I741=_xlfn.XLOOKUP(F741,Lists!$D$2:$D$13,Lists!$E$2:$E$13,"Not Found"),"OK","Check Price")</f>
        <v>OK</v>
      </c>
    </row>
    <row r="742" spans="1:14" ht="15.5" hidden="1" thickTop="1" thickBot="1" x14ac:dyDescent="0.4">
      <c r="A742" s="36" t="str">
        <f t="shared" si="22"/>
        <v>ORD0741</v>
      </c>
      <c r="B742" s="34">
        <v>45724</v>
      </c>
      <c r="C742" s="38" t="s">
        <v>73</v>
      </c>
      <c r="D742" s="38" t="s">
        <v>28</v>
      </c>
      <c r="E742" s="38" t="s">
        <v>35</v>
      </c>
      <c r="F742" s="38" t="s">
        <v>43</v>
      </c>
      <c r="G742" s="38" t="s">
        <v>24</v>
      </c>
      <c r="H742" s="38">
        <v>7</v>
      </c>
      <c r="I742" s="38">
        <v>2000</v>
      </c>
      <c r="J742" s="38">
        <v>0.05</v>
      </c>
      <c r="K742" s="38">
        <f t="shared" si="23"/>
        <v>13300</v>
      </c>
      <c r="L742" s="38" t="s">
        <v>56</v>
      </c>
      <c r="M742" s="38" t="s">
        <v>38</v>
      </c>
      <c r="N742" s="4" t="str">
        <f>IF(I742=_xlfn.XLOOKUP(F742,Lists!$D$2:$D$13,Lists!$E$2:$E$13,"Not Found"),"OK","Check Price")</f>
        <v>Check Price</v>
      </c>
    </row>
    <row r="743" spans="1:14" ht="15.5" hidden="1" thickTop="1" thickBot="1" x14ac:dyDescent="0.4">
      <c r="A743" s="36" t="str">
        <f t="shared" si="22"/>
        <v>ORD0742</v>
      </c>
      <c r="B743" s="34">
        <v>45840</v>
      </c>
      <c r="C743" s="37" t="s">
        <v>65</v>
      </c>
      <c r="D743" s="37" t="s">
        <v>54</v>
      </c>
      <c r="E743" s="37" t="s">
        <v>79</v>
      </c>
      <c r="F743" s="37" t="s">
        <v>43</v>
      </c>
      <c r="G743" s="37" t="s">
        <v>24</v>
      </c>
      <c r="H743" s="37">
        <v>6</v>
      </c>
      <c r="I743" s="37">
        <v>12000</v>
      </c>
      <c r="J743" s="37">
        <v>0.1</v>
      </c>
      <c r="K743" s="37">
        <f t="shared" si="23"/>
        <v>64800</v>
      </c>
      <c r="L743" s="37" t="s">
        <v>41</v>
      </c>
      <c r="M743" s="37" t="s">
        <v>22</v>
      </c>
      <c r="N743" s="4" t="str">
        <f>IF(I743=_xlfn.XLOOKUP(F743,Lists!$D$2:$D$13,Lists!$E$2:$E$13,"Not Found"),"OK","Check Price")</f>
        <v>OK</v>
      </c>
    </row>
    <row r="744" spans="1:14" ht="15.5" thickTop="1" thickBot="1" x14ac:dyDescent="0.4">
      <c r="A744" s="36" t="str">
        <f t="shared" si="22"/>
        <v>ORD0743</v>
      </c>
      <c r="B744" s="34">
        <v>45805</v>
      </c>
      <c r="C744" s="38" t="s">
        <v>78</v>
      </c>
      <c r="D744" s="38" t="s">
        <v>42</v>
      </c>
      <c r="E744" s="38" t="s">
        <v>80</v>
      </c>
      <c r="F744" s="38" t="s">
        <v>46</v>
      </c>
      <c r="G744" s="35" t="str">
        <f>_xlfn.XLOOKUP(F744,Lists!$J$2:$J$13,Lists!$K$2:$K$13,"Not Found")</f>
        <v>Furniture</v>
      </c>
      <c r="H744" s="38">
        <v>5</v>
      </c>
      <c r="I744" s="35">
        <f>_xlfn.XLOOKUP(F744,Lists!$D$2:$D$13,Lists!$E$2:$E$13,"Not Found")</f>
        <v>22000</v>
      </c>
      <c r="J744" s="48">
        <v>0.05</v>
      </c>
      <c r="K744" s="35">
        <f>H744*I744*(1-J744)</f>
        <v>104500</v>
      </c>
      <c r="L744" s="38" t="s">
        <v>26</v>
      </c>
      <c r="M744" s="38" t="s">
        <v>38</v>
      </c>
      <c r="N744" s="4" t="str">
        <f>IF(I744=_xlfn.XLOOKUP(F744,Lists!$D$2:$D$13,Lists!$E$2:$E$13,"Not Found"),"OK","Check Price")</f>
        <v>OK</v>
      </c>
    </row>
    <row r="745" spans="1:14" ht="15.5" hidden="1" thickTop="1" thickBot="1" x14ac:dyDescent="0.4">
      <c r="A745" s="36" t="str">
        <f t="shared" si="22"/>
        <v>ORD0744</v>
      </c>
      <c r="B745" s="34">
        <v>45631</v>
      </c>
      <c r="C745" s="37" t="s">
        <v>60</v>
      </c>
      <c r="D745" s="37" t="s">
        <v>51</v>
      </c>
      <c r="E745" s="37" t="s">
        <v>35</v>
      </c>
      <c r="F745" s="37" t="s">
        <v>25</v>
      </c>
      <c r="G745" s="37" t="s">
        <v>19</v>
      </c>
      <c r="H745" s="37">
        <v>1</v>
      </c>
      <c r="I745" s="37">
        <v>1200</v>
      </c>
      <c r="J745" s="37">
        <v>0.25</v>
      </c>
      <c r="K745" s="37">
        <f t="shared" si="23"/>
        <v>900</v>
      </c>
      <c r="L745" s="37" t="s">
        <v>37</v>
      </c>
      <c r="M745" s="37" t="s">
        <v>27</v>
      </c>
      <c r="N745" s="4" t="str">
        <f>IF(I745=_xlfn.XLOOKUP(F745,Lists!$D$2:$D$13,Lists!$E$2:$E$13,"Not Found"),"OK","Check Price")</f>
        <v>Check Price</v>
      </c>
    </row>
    <row r="746" spans="1:14" ht="15.5" hidden="1" thickTop="1" thickBot="1" x14ac:dyDescent="0.4">
      <c r="A746" s="36" t="str">
        <f t="shared" si="22"/>
        <v>ORD0745</v>
      </c>
      <c r="B746" s="34">
        <v>45897</v>
      </c>
      <c r="C746" s="38" t="s">
        <v>76</v>
      </c>
      <c r="D746" s="38" t="s">
        <v>39</v>
      </c>
      <c r="E746" s="38" t="s">
        <v>29</v>
      </c>
      <c r="F746" s="38" t="s">
        <v>25</v>
      </c>
      <c r="G746" s="38" t="s">
        <v>24</v>
      </c>
      <c r="H746" s="38">
        <v>2</v>
      </c>
      <c r="I746" s="38">
        <v>12000</v>
      </c>
      <c r="J746" s="38">
        <v>0.15</v>
      </c>
      <c r="K746" s="38">
        <f t="shared" si="23"/>
        <v>20400</v>
      </c>
      <c r="L746" s="38" t="s">
        <v>21</v>
      </c>
      <c r="M746" s="38" t="s">
        <v>33</v>
      </c>
      <c r="N746" s="4" t="str">
        <f>IF(I746=_xlfn.XLOOKUP(F746,Lists!$D$2:$D$13,Lists!$E$2:$E$13,"Not Found"),"OK","Check Price")</f>
        <v>Check Price</v>
      </c>
    </row>
    <row r="747" spans="1:14" ht="15.5" thickTop="1" thickBot="1" x14ac:dyDescent="0.4">
      <c r="A747" s="36" t="str">
        <f t="shared" si="22"/>
        <v>ORD0746</v>
      </c>
      <c r="B747" s="34">
        <v>45999</v>
      </c>
      <c r="C747" s="37" t="s">
        <v>75</v>
      </c>
      <c r="D747" s="37" t="s">
        <v>23</v>
      </c>
      <c r="E747" s="37" t="s">
        <v>119</v>
      </c>
      <c r="F747" s="37" t="s">
        <v>55</v>
      </c>
      <c r="G747" s="35" t="str">
        <f>_xlfn.XLOOKUP(F747,Lists!$J$2:$J$13,Lists!$K$2:$K$13,"Not Found")</f>
        <v>Office Supplies</v>
      </c>
      <c r="H747" s="37">
        <v>2</v>
      </c>
      <c r="I747" s="35">
        <f>_xlfn.XLOOKUP(F747,Lists!$D$2:$D$13,Lists!$E$2:$E$13,"Not Found")</f>
        <v>1500</v>
      </c>
      <c r="J747" s="47">
        <v>0.05</v>
      </c>
      <c r="K747" s="35">
        <f>H747*I747*(1-J747)</f>
        <v>2850</v>
      </c>
      <c r="L747" s="37" t="s">
        <v>26</v>
      </c>
      <c r="M747" s="37" t="s">
        <v>33</v>
      </c>
      <c r="N747" s="4" t="str">
        <f>IF(I747=_xlfn.XLOOKUP(F747,Lists!$D$2:$D$13,Lists!$E$2:$E$13,"Not Found"),"OK","Check Price")</f>
        <v>OK</v>
      </c>
    </row>
    <row r="748" spans="1:14" ht="15.5" hidden="1" thickTop="1" thickBot="1" x14ac:dyDescent="0.4">
      <c r="A748" s="36" t="str">
        <f t="shared" si="22"/>
        <v>ORD0747</v>
      </c>
      <c r="B748" s="34">
        <v>45514</v>
      </c>
      <c r="C748" s="38" t="s">
        <v>67</v>
      </c>
      <c r="D748" s="38" t="s">
        <v>48</v>
      </c>
      <c r="E748" s="38" t="s">
        <v>79</v>
      </c>
      <c r="F748" s="38" t="s">
        <v>43</v>
      </c>
      <c r="G748" s="38" t="s">
        <v>24</v>
      </c>
      <c r="H748" s="38">
        <v>3</v>
      </c>
      <c r="I748" s="38">
        <v>28000</v>
      </c>
      <c r="J748" s="38">
        <v>0.1</v>
      </c>
      <c r="K748" s="38">
        <f t="shared" si="23"/>
        <v>75600</v>
      </c>
      <c r="L748" s="38" t="s">
        <v>56</v>
      </c>
      <c r="M748" s="38" t="s">
        <v>38</v>
      </c>
      <c r="N748" s="4" t="str">
        <f>IF(I748=_xlfn.XLOOKUP(F748,Lists!$D$2:$D$13,Lists!$E$2:$E$13,"Not Found"),"OK","Check Price")</f>
        <v>Check Price</v>
      </c>
    </row>
    <row r="749" spans="1:14" ht="15.5" hidden="1" thickTop="1" thickBot="1" x14ac:dyDescent="0.4">
      <c r="A749" s="36" t="str">
        <f t="shared" si="22"/>
        <v>ORD0748</v>
      </c>
      <c r="B749" s="34">
        <v>45608</v>
      </c>
      <c r="C749" s="37" t="s">
        <v>73</v>
      </c>
      <c r="D749" s="37" t="s">
        <v>34</v>
      </c>
      <c r="E749" s="37" t="s">
        <v>80</v>
      </c>
      <c r="F749" s="37" t="s">
        <v>43</v>
      </c>
      <c r="G749" s="37" t="s">
        <v>24</v>
      </c>
      <c r="H749" s="37">
        <v>6</v>
      </c>
      <c r="I749" s="37">
        <v>1200</v>
      </c>
      <c r="J749" s="37">
        <v>0.05</v>
      </c>
      <c r="K749" s="37">
        <f t="shared" si="23"/>
        <v>6840</v>
      </c>
      <c r="L749" s="37" t="s">
        <v>21</v>
      </c>
      <c r="M749" s="37" t="s">
        <v>27</v>
      </c>
      <c r="N749" s="4" t="str">
        <f>IF(I749=_xlfn.XLOOKUP(F749,Lists!$D$2:$D$13,Lists!$E$2:$E$13,"Not Found"),"OK","Check Price")</f>
        <v>Check Price</v>
      </c>
    </row>
    <row r="750" spans="1:14" ht="15.5" hidden="1" thickTop="1" thickBot="1" x14ac:dyDescent="0.4">
      <c r="A750" s="36" t="str">
        <f t="shared" si="22"/>
        <v>ORD0749</v>
      </c>
      <c r="B750" s="34">
        <v>45736</v>
      </c>
      <c r="C750" s="38" t="s">
        <v>65</v>
      </c>
      <c r="D750" s="38" t="s">
        <v>45</v>
      </c>
      <c r="E750" s="38" t="s">
        <v>35</v>
      </c>
      <c r="F750" s="38" t="s">
        <v>57</v>
      </c>
      <c r="G750" s="38" t="s">
        <v>30</v>
      </c>
      <c r="H750" s="38">
        <v>3</v>
      </c>
      <c r="I750" s="38">
        <v>12000</v>
      </c>
      <c r="J750" s="38">
        <v>0.2</v>
      </c>
      <c r="K750" s="38">
        <f t="shared" si="23"/>
        <v>28800</v>
      </c>
      <c r="L750" s="38" t="s">
        <v>41</v>
      </c>
      <c r="M750" s="38" t="s">
        <v>38</v>
      </c>
      <c r="N750" s="4" t="str">
        <f>IF(I750=_xlfn.XLOOKUP(F750,Lists!$D$2:$D$13,Lists!$E$2:$E$13,"Not Found"),"OK","Check Price")</f>
        <v>Check Price</v>
      </c>
    </row>
    <row r="751" spans="1:14" ht="15.5" thickTop="1" thickBot="1" x14ac:dyDescent="0.4">
      <c r="A751" s="36" t="str">
        <f t="shared" si="22"/>
        <v>ORD0750</v>
      </c>
      <c r="B751" s="34">
        <v>45943</v>
      </c>
      <c r="C751" s="37" t="s">
        <v>70</v>
      </c>
      <c r="D751" s="37" t="s">
        <v>48</v>
      </c>
      <c r="E751" s="37" t="s">
        <v>35</v>
      </c>
      <c r="F751" s="37" t="s">
        <v>46</v>
      </c>
      <c r="G751" s="35" t="str">
        <f>_xlfn.XLOOKUP(F751,Lists!$J$2:$J$13,Lists!$K$2:$K$13,"Not Found")</f>
        <v>Furniture</v>
      </c>
      <c r="H751" s="37">
        <v>9</v>
      </c>
      <c r="I751" s="35">
        <f>_xlfn.XLOOKUP(F751,Lists!$D$2:$D$13,Lists!$E$2:$E$13,"Not Found")</f>
        <v>22000</v>
      </c>
      <c r="J751" s="47">
        <v>0.15</v>
      </c>
      <c r="K751" s="35">
        <f t="shared" si="23"/>
        <v>168300</v>
      </c>
      <c r="L751" s="37" t="s">
        <v>44</v>
      </c>
      <c r="M751" s="37" t="s">
        <v>38</v>
      </c>
      <c r="N751" s="4" t="str">
        <f>IF(I751=_xlfn.XLOOKUP(F751,Lists!$D$2:$D$13,Lists!$E$2:$E$13,"Not Found"),"OK","Check Price")</f>
        <v>OK</v>
      </c>
    </row>
    <row r="752" spans="1:14" ht="15.5" thickTop="1" thickBot="1" x14ac:dyDescent="0.4">
      <c r="A752" s="36" t="str">
        <f t="shared" si="22"/>
        <v>ORD0751</v>
      </c>
      <c r="B752" s="34">
        <v>45294</v>
      </c>
      <c r="C752" s="38" t="s">
        <v>71</v>
      </c>
      <c r="D752" s="38" t="s">
        <v>45</v>
      </c>
      <c r="E752" s="38" t="s">
        <v>80</v>
      </c>
      <c r="F752" s="38" t="s">
        <v>20</v>
      </c>
      <c r="G752" s="35" t="str">
        <f>_xlfn.XLOOKUP(F752,Lists!$J$2:$J$13,Lists!$K$2:$K$13,"Not Found")</f>
        <v>Electronics</v>
      </c>
      <c r="H752" s="38">
        <v>6</v>
      </c>
      <c r="I752" s="35">
        <f>_xlfn.XLOOKUP(F752,Lists!$D$2:$D$13,Lists!$E$2:$E$13,"Not Found")</f>
        <v>85000</v>
      </c>
      <c r="J752" s="48">
        <v>0.2</v>
      </c>
      <c r="K752" s="35">
        <f t="shared" si="23"/>
        <v>408000</v>
      </c>
      <c r="L752" s="38" t="s">
        <v>44</v>
      </c>
      <c r="M752" s="38" t="s">
        <v>27</v>
      </c>
      <c r="N752" s="4" t="str">
        <f>IF(I752=_xlfn.XLOOKUP(F752,Lists!$D$2:$D$13,Lists!$E$2:$E$13,"Not Found"),"OK","Check Price")</f>
        <v>OK</v>
      </c>
    </row>
    <row r="753" spans="1:14" ht="15.5" thickTop="1" thickBot="1" x14ac:dyDescent="0.4">
      <c r="A753" s="36" t="str">
        <f t="shared" si="22"/>
        <v>ORD0752</v>
      </c>
      <c r="B753" s="34">
        <v>45650</v>
      </c>
      <c r="C753" s="37" t="s">
        <v>61</v>
      </c>
      <c r="D753" s="37" t="s">
        <v>28</v>
      </c>
      <c r="E753" s="37" t="s">
        <v>80</v>
      </c>
      <c r="F753" s="37" t="s">
        <v>46</v>
      </c>
      <c r="G753" s="35" t="str">
        <f>_xlfn.XLOOKUP(F753,Lists!$J$2:$J$13,Lists!$K$2:$K$13,"Not Found")</f>
        <v>Furniture</v>
      </c>
      <c r="H753" s="37">
        <v>10</v>
      </c>
      <c r="I753" s="35">
        <f>_xlfn.XLOOKUP(F753,Lists!$D$2:$D$13,Lists!$E$2:$E$13,"Not Found")</f>
        <v>22000</v>
      </c>
      <c r="J753" s="47">
        <v>0.15</v>
      </c>
      <c r="K753" s="35">
        <f t="shared" si="23"/>
        <v>187000</v>
      </c>
      <c r="L753" s="37" t="s">
        <v>37</v>
      </c>
      <c r="M753" s="37" t="s">
        <v>22</v>
      </c>
      <c r="N753" s="4" t="str">
        <f>IF(I753=_xlfn.XLOOKUP(F753,Lists!$D$2:$D$13,Lists!$E$2:$E$13,"Not Found"),"OK","Check Price")</f>
        <v>OK</v>
      </c>
    </row>
    <row r="754" spans="1:14" ht="15.5" hidden="1" thickTop="1" thickBot="1" x14ac:dyDescent="0.4">
      <c r="A754" s="36" t="str">
        <f t="shared" si="22"/>
        <v>ORD0753</v>
      </c>
      <c r="B754" s="34">
        <v>45551</v>
      </c>
      <c r="C754" s="38" t="s">
        <v>61</v>
      </c>
      <c r="D754" s="38" t="s">
        <v>39</v>
      </c>
      <c r="E754" s="38" t="s">
        <v>18</v>
      </c>
      <c r="F754" s="38" t="s">
        <v>49</v>
      </c>
      <c r="G754" s="38" t="s">
        <v>24</v>
      </c>
      <c r="H754" s="38">
        <v>6</v>
      </c>
      <c r="I754" s="38">
        <v>85000</v>
      </c>
      <c r="J754" s="38">
        <v>0.2</v>
      </c>
      <c r="K754" s="38">
        <f t="shared" si="23"/>
        <v>408000</v>
      </c>
      <c r="L754" s="38" t="s">
        <v>47</v>
      </c>
      <c r="M754" s="38" t="s">
        <v>27</v>
      </c>
      <c r="N754" s="4" t="str">
        <f>IF(I754=_xlfn.XLOOKUP(F754,Lists!$D$2:$D$13,Lists!$E$2:$E$13,"Not Found"),"OK","Check Price")</f>
        <v>Check Price</v>
      </c>
    </row>
    <row r="755" spans="1:14" ht="15.5" hidden="1" thickTop="1" thickBot="1" x14ac:dyDescent="0.4">
      <c r="A755" s="36" t="str">
        <f t="shared" si="22"/>
        <v>ORD0754</v>
      </c>
      <c r="B755" s="34">
        <v>45719</v>
      </c>
      <c r="C755" s="37" t="s">
        <v>70</v>
      </c>
      <c r="D755" s="37" t="s">
        <v>28</v>
      </c>
      <c r="E755" s="37" t="s">
        <v>80</v>
      </c>
      <c r="F755" s="37" t="s">
        <v>36</v>
      </c>
      <c r="G755" s="37" t="s">
        <v>30</v>
      </c>
      <c r="H755" s="37">
        <v>8</v>
      </c>
      <c r="I755" s="37">
        <v>350</v>
      </c>
      <c r="J755" s="37">
        <v>0.15</v>
      </c>
      <c r="K755" s="37">
        <f t="shared" si="23"/>
        <v>2380</v>
      </c>
      <c r="L755" s="37" t="s">
        <v>53</v>
      </c>
      <c r="M755" s="37" t="s">
        <v>27</v>
      </c>
      <c r="N755" s="4" t="str">
        <f>IF(I755=_xlfn.XLOOKUP(F755,Lists!$D$2:$D$13,Lists!$E$2:$E$13,"Not Found"),"OK","Check Price")</f>
        <v>Check Price</v>
      </c>
    </row>
    <row r="756" spans="1:14" ht="15.5" thickTop="1" thickBot="1" x14ac:dyDescent="0.4">
      <c r="A756" s="36" t="str">
        <f t="shared" si="22"/>
        <v>ORD0755</v>
      </c>
      <c r="B756" s="34">
        <v>45794</v>
      </c>
      <c r="C756" s="38" t="s">
        <v>63</v>
      </c>
      <c r="D756" s="38" t="s">
        <v>17</v>
      </c>
      <c r="E756" s="38" t="s">
        <v>119</v>
      </c>
      <c r="F756" s="38" t="s">
        <v>55</v>
      </c>
      <c r="G756" s="35" t="str">
        <f>_xlfn.XLOOKUP(F756,Lists!$J$2:$J$13,Lists!$K$2:$K$13,"Not Found")</f>
        <v>Office Supplies</v>
      </c>
      <c r="H756" s="38">
        <v>10</v>
      </c>
      <c r="I756" s="35">
        <f>_xlfn.XLOOKUP(F756,Lists!$D$2:$D$13,Lists!$E$2:$E$13,"Not Found")</f>
        <v>1500</v>
      </c>
      <c r="J756" s="48">
        <v>0.2</v>
      </c>
      <c r="K756" s="35">
        <f>H756*I756*(1-J756)</f>
        <v>12000</v>
      </c>
      <c r="L756" s="38" t="s">
        <v>47</v>
      </c>
      <c r="M756" s="38" t="s">
        <v>33</v>
      </c>
      <c r="N756" s="4" t="str">
        <f>IF(I756=_xlfn.XLOOKUP(F756,Lists!$D$2:$D$13,Lists!$E$2:$E$13,"Not Found"),"OK","Check Price")</f>
        <v>OK</v>
      </c>
    </row>
    <row r="757" spans="1:14" ht="15.5" hidden="1" thickTop="1" thickBot="1" x14ac:dyDescent="0.4">
      <c r="A757" s="36" t="str">
        <f t="shared" si="22"/>
        <v>ORD0756</v>
      </c>
      <c r="B757" s="34">
        <v>45871</v>
      </c>
      <c r="C757" s="37" t="s">
        <v>76</v>
      </c>
      <c r="D757" s="37" t="s">
        <v>39</v>
      </c>
      <c r="E757" s="37" t="s">
        <v>119</v>
      </c>
      <c r="F757" s="37" t="s">
        <v>52</v>
      </c>
      <c r="G757" s="37" t="s">
        <v>24</v>
      </c>
      <c r="H757" s="37">
        <v>2</v>
      </c>
      <c r="I757" s="37">
        <v>5000</v>
      </c>
      <c r="J757" s="37">
        <v>0.25</v>
      </c>
      <c r="K757" s="37">
        <f t="shared" si="23"/>
        <v>7500</v>
      </c>
      <c r="L757" s="37" t="s">
        <v>44</v>
      </c>
      <c r="M757" s="37" t="s">
        <v>27</v>
      </c>
      <c r="N757" s="4" t="str">
        <f>IF(I757=_xlfn.XLOOKUP(F757,Lists!$D$2:$D$13,Lists!$E$2:$E$13,"Not Found"),"OK","Check Price")</f>
        <v>Check Price</v>
      </c>
    </row>
    <row r="758" spans="1:14" ht="15.5" hidden="1" thickTop="1" thickBot="1" x14ac:dyDescent="0.4">
      <c r="A758" s="36" t="str">
        <f t="shared" si="22"/>
        <v>ORD0757</v>
      </c>
      <c r="B758" s="34">
        <v>45780</v>
      </c>
      <c r="C758" s="38" t="s">
        <v>78</v>
      </c>
      <c r="D758" s="38" t="s">
        <v>48</v>
      </c>
      <c r="E758" s="38" t="s">
        <v>18</v>
      </c>
      <c r="F758" s="38" t="s">
        <v>43</v>
      </c>
      <c r="G758" s="38" t="s">
        <v>30</v>
      </c>
      <c r="H758" s="38">
        <v>7</v>
      </c>
      <c r="I758" s="38">
        <v>1200</v>
      </c>
      <c r="J758" s="38">
        <v>0.25</v>
      </c>
      <c r="K758" s="38">
        <f t="shared" si="23"/>
        <v>6300</v>
      </c>
      <c r="L758" s="38" t="s">
        <v>53</v>
      </c>
      <c r="M758" s="38" t="s">
        <v>38</v>
      </c>
      <c r="N758" s="4" t="str">
        <f>IF(I758=_xlfn.XLOOKUP(F758,Lists!$D$2:$D$13,Lists!$E$2:$E$13,"Not Found"),"OK","Check Price")</f>
        <v>Check Price</v>
      </c>
    </row>
    <row r="759" spans="1:14" ht="15.5" hidden="1" thickTop="1" thickBot="1" x14ac:dyDescent="0.4">
      <c r="A759" s="36" t="str">
        <f t="shared" si="22"/>
        <v>ORD0758</v>
      </c>
      <c r="B759" s="34">
        <v>45670</v>
      </c>
      <c r="C759" s="37" t="s">
        <v>69</v>
      </c>
      <c r="D759" s="37" t="s">
        <v>45</v>
      </c>
      <c r="E759" s="37" t="s">
        <v>119</v>
      </c>
      <c r="F759" s="37" t="s">
        <v>49</v>
      </c>
      <c r="G759" s="37" t="s">
        <v>30</v>
      </c>
      <c r="H759" s="37">
        <v>5</v>
      </c>
      <c r="I759" s="37">
        <v>2000</v>
      </c>
      <c r="J759" s="37">
        <v>0.1</v>
      </c>
      <c r="K759" s="37">
        <f t="shared" si="23"/>
        <v>9000</v>
      </c>
      <c r="L759" s="37" t="s">
        <v>26</v>
      </c>
      <c r="M759" s="37" t="s">
        <v>22</v>
      </c>
      <c r="N759" s="4" t="str">
        <f>IF(I759=_xlfn.XLOOKUP(F759,Lists!$D$2:$D$13,Lists!$E$2:$E$13,"Not Found"),"OK","Check Price")</f>
        <v>Check Price</v>
      </c>
    </row>
    <row r="760" spans="1:14" ht="15.5" hidden="1" thickTop="1" thickBot="1" x14ac:dyDescent="0.4">
      <c r="A760" s="36" t="str">
        <f t="shared" si="22"/>
        <v>ORD0759</v>
      </c>
      <c r="B760" s="34">
        <v>45897</v>
      </c>
      <c r="C760" s="38" t="s">
        <v>75</v>
      </c>
      <c r="D760" s="38" t="s">
        <v>23</v>
      </c>
      <c r="E760" s="38" t="s">
        <v>29</v>
      </c>
      <c r="F760" s="38" t="s">
        <v>36</v>
      </c>
      <c r="G760" s="38" t="s">
        <v>24</v>
      </c>
      <c r="H760" s="38">
        <v>1</v>
      </c>
      <c r="I760" s="38">
        <v>1200</v>
      </c>
      <c r="J760" s="38">
        <v>0.25</v>
      </c>
      <c r="K760" s="38">
        <f t="shared" si="23"/>
        <v>900</v>
      </c>
      <c r="L760" s="38" t="s">
        <v>32</v>
      </c>
      <c r="M760" s="38" t="s">
        <v>38</v>
      </c>
      <c r="N760" s="4" t="str">
        <f>IF(I760=_xlfn.XLOOKUP(F760,Lists!$D$2:$D$13,Lists!$E$2:$E$13,"Not Found"),"OK","Check Price")</f>
        <v>Check Price</v>
      </c>
    </row>
    <row r="761" spans="1:14" ht="15.5" hidden="1" thickTop="1" thickBot="1" x14ac:dyDescent="0.4">
      <c r="A761" s="36" t="str">
        <f t="shared" si="22"/>
        <v>ORD0760</v>
      </c>
      <c r="B761" s="34">
        <v>45717</v>
      </c>
      <c r="C761" s="37" t="s">
        <v>70</v>
      </c>
      <c r="D761" s="37" t="s">
        <v>45</v>
      </c>
      <c r="E761" s="37" t="s">
        <v>35</v>
      </c>
      <c r="F761" s="37" t="s">
        <v>40</v>
      </c>
      <c r="G761" s="37" t="s">
        <v>30</v>
      </c>
      <c r="H761" s="37">
        <v>2</v>
      </c>
      <c r="I761" s="37">
        <v>1500</v>
      </c>
      <c r="J761" s="37">
        <v>0.25</v>
      </c>
      <c r="K761" s="37">
        <f t="shared" si="23"/>
        <v>2250</v>
      </c>
      <c r="L761" s="37" t="s">
        <v>21</v>
      </c>
      <c r="M761" s="37" t="s">
        <v>22</v>
      </c>
      <c r="N761" s="4" t="str">
        <f>IF(I761=_xlfn.XLOOKUP(F761,Lists!$D$2:$D$13,Lists!$E$2:$E$13,"Not Found"),"OK","Check Price")</f>
        <v>Check Price</v>
      </c>
    </row>
    <row r="762" spans="1:14" ht="15.5" hidden="1" thickTop="1" thickBot="1" x14ac:dyDescent="0.4">
      <c r="A762" s="36" t="str">
        <f t="shared" si="22"/>
        <v>ORD0761</v>
      </c>
      <c r="B762" s="34">
        <v>45539</v>
      </c>
      <c r="C762" s="38" t="s">
        <v>73</v>
      </c>
      <c r="D762" s="38" t="s">
        <v>42</v>
      </c>
      <c r="E762" s="38" t="s">
        <v>80</v>
      </c>
      <c r="F762" s="38" t="s">
        <v>40</v>
      </c>
      <c r="G762" s="38" t="s">
        <v>19</v>
      </c>
      <c r="H762" s="38">
        <v>9</v>
      </c>
      <c r="I762" s="38">
        <v>1200</v>
      </c>
      <c r="J762" s="38">
        <v>0.25</v>
      </c>
      <c r="K762" s="38">
        <f t="shared" si="23"/>
        <v>8100</v>
      </c>
      <c r="L762" s="38" t="s">
        <v>37</v>
      </c>
      <c r="M762" s="38" t="s">
        <v>33</v>
      </c>
      <c r="N762" s="4" t="str">
        <f>IF(I762=_xlfn.XLOOKUP(F762,Lists!$D$2:$D$13,Lists!$E$2:$E$13,"Not Found"),"OK","Check Price")</f>
        <v>Check Price</v>
      </c>
    </row>
    <row r="763" spans="1:14" ht="15.5" thickTop="1" thickBot="1" x14ac:dyDescent="0.4">
      <c r="A763" s="36" t="str">
        <f t="shared" si="22"/>
        <v>ORD0762</v>
      </c>
      <c r="B763" s="34">
        <v>45700</v>
      </c>
      <c r="C763" s="37" t="s">
        <v>78</v>
      </c>
      <c r="D763" s="37" t="s">
        <v>39</v>
      </c>
      <c r="E763" s="37" t="s">
        <v>79</v>
      </c>
      <c r="F763" s="37" t="s">
        <v>46</v>
      </c>
      <c r="G763" s="35" t="str">
        <f>_xlfn.XLOOKUP(F763,Lists!$J$2:$J$13,Lists!$K$2:$K$13,"Not Found")</f>
        <v>Furniture</v>
      </c>
      <c r="H763" s="37">
        <v>3</v>
      </c>
      <c r="I763" s="35">
        <f>_xlfn.XLOOKUP(F763,Lists!$D$2:$D$13,Lists!$E$2:$E$13,"Not Found")</f>
        <v>22000</v>
      </c>
      <c r="J763" s="47">
        <v>0.05</v>
      </c>
      <c r="K763" s="35">
        <f>H763*I763*(1-J763)</f>
        <v>62700</v>
      </c>
      <c r="L763" s="37" t="s">
        <v>41</v>
      </c>
      <c r="M763" s="37" t="s">
        <v>33</v>
      </c>
      <c r="N763" s="4" t="str">
        <f>IF(I763=_xlfn.XLOOKUP(F763,Lists!$D$2:$D$13,Lists!$E$2:$E$13,"Not Found"),"OK","Check Price")</f>
        <v>OK</v>
      </c>
    </row>
    <row r="764" spans="1:14" ht="15.5" hidden="1" thickTop="1" thickBot="1" x14ac:dyDescent="0.4">
      <c r="A764" s="36" t="str">
        <f t="shared" si="22"/>
        <v>ORD0763</v>
      </c>
      <c r="B764" s="34">
        <v>45694</v>
      </c>
      <c r="C764" s="38" t="s">
        <v>64</v>
      </c>
      <c r="D764" s="38" t="s">
        <v>39</v>
      </c>
      <c r="E764" s="38" t="s">
        <v>119</v>
      </c>
      <c r="F764" s="38" t="s">
        <v>58</v>
      </c>
      <c r="G764" s="38" t="s">
        <v>30</v>
      </c>
      <c r="H764" s="38">
        <v>4</v>
      </c>
      <c r="I764" s="38">
        <v>350</v>
      </c>
      <c r="J764" s="38">
        <v>0.05</v>
      </c>
      <c r="K764" s="38">
        <f t="shared" si="23"/>
        <v>1330</v>
      </c>
      <c r="L764" s="38" t="s">
        <v>53</v>
      </c>
      <c r="M764" s="38" t="s">
        <v>22</v>
      </c>
      <c r="N764" s="4" t="str">
        <f>IF(I764=_xlfn.XLOOKUP(F764,Lists!$D$2:$D$13,Lists!$E$2:$E$13,"Not Found"),"OK","Check Price")</f>
        <v>Check Price</v>
      </c>
    </row>
    <row r="765" spans="1:14" ht="15.5" hidden="1" thickTop="1" thickBot="1" x14ac:dyDescent="0.4">
      <c r="A765" s="36" t="str">
        <f t="shared" si="22"/>
        <v>ORD0764</v>
      </c>
      <c r="B765" s="34">
        <v>45738</v>
      </c>
      <c r="C765" s="37" t="s">
        <v>75</v>
      </c>
      <c r="D765" s="37" t="s">
        <v>45</v>
      </c>
      <c r="E765" s="37" t="s">
        <v>80</v>
      </c>
      <c r="F765" s="37" t="s">
        <v>36</v>
      </c>
      <c r="G765" s="37" t="s">
        <v>19</v>
      </c>
      <c r="H765" s="37">
        <v>7</v>
      </c>
      <c r="I765" s="37">
        <v>1500</v>
      </c>
      <c r="J765" s="37">
        <v>0.05</v>
      </c>
      <c r="K765" s="37">
        <f t="shared" si="23"/>
        <v>9975</v>
      </c>
      <c r="L765" s="37" t="s">
        <v>26</v>
      </c>
      <c r="M765" s="37" t="s">
        <v>33</v>
      </c>
      <c r="N765" s="4" t="str">
        <f>IF(I765=_xlfn.XLOOKUP(F765,Lists!$D$2:$D$13,Lists!$E$2:$E$13,"Not Found"),"OK","Check Price")</f>
        <v>Check Price</v>
      </c>
    </row>
    <row r="766" spans="1:14" ht="15.5" hidden="1" thickTop="1" thickBot="1" x14ac:dyDescent="0.4">
      <c r="A766" s="36" t="str">
        <f t="shared" si="22"/>
        <v>ORD0765</v>
      </c>
      <c r="B766" s="34">
        <v>45339</v>
      </c>
      <c r="C766" s="38" t="s">
        <v>72</v>
      </c>
      <c r="D766" s="38" t="s">
        <v>17</v>
      </c>
      <c r="E766" s="38" t="s">
        <v>80</v>
      </c>
      <c r="F766" s="38" t="s">
        <v>40</v>
      </c>
      <c r="G766" s="38" t="s">
        <v>24</v>
      </c>
      <c r="H766" s="38">
        <v>6</v>
      </c>
      <c r="I766" s="38">
        <v>28000</v>
      </c>
      <c r="J766" s="38">
        <v>0.05</v>
      </c>
      <c r="K766" s="38">
        <f t="shared" si="23"/>
        <v>159600</v>
      </c>
      <c r="L766" s="38" t="s">
        <v>26</v>
      </c>
      <c r="M766" s="38" t="s">
        <v>22</v>
      </c>
      <c r="N766" s="4" t="str">
        <f>IF(I766=_xlfn.XLOOKUP(F766,Lists!$D$2:$D$13,Lists!$E$2:$E$13,"Not Found"),"OK","Check Price")</f>
        <v>OK</v>
      </c>
    </row>
    <row r="767" spans="1:14" ht="15.5" hidden="1" thickTop="1" thickBot="1" x14ac:dyDescent="0.4">
      <c r="A767" s="36" t="str">
        <f t="shared" si="22"/>
        <v>ORD0766</v>
      </c>
      <c r="B767" s="34">
        <v>45733</v>
      </c>
      <c r="C767" s="37" t="s">
        <v>77</v>
      </c>
      <c r="D767" s="37" t="s">
        <v>48</v>
      </c>
      <c r="E767" s="37" t="s">
        <v>80</v>
      </c>
      <c r="F767" s="37" t="s">
        <v>52</v>
      </c>
      <c r="G767" s="37" t="s">
        <v>19</v>
      </c>
      <c r="H767" s="37">
        <v>1</v>
      </c>
      <c r="I767" s="37">
        <v>2000</v>
      </c>
      <c r="J767" s="37">
        <v>0.25</v>
      </c>
      <c r="K767" s="37">
        <f t="shared" si="23"/>
        <v>1500</v>
      </c>
      <c r="L767" s="37" t="s">
        <v>44</v>
      </c>
      <c r="M767" s="37" t="s">
        <v>22</v>
      </c>
      <c r="N767" s="4" t="str">
        <f>IF(I767=_xlfn.XLOOKUP(F767,Lists!$D$2:$D$13,Lists!$E$2:$E$13,"Not Found"),"OK","Check Price")</f>
        <v>Check Price</v>
      </c>
    </row>
    <row r="768" spans="1:14" ht="15.5" hidden="1" thickTop="1" thickBot="1" x14ac:dyDescent="0.4">
      <c r="A768" s="36" t="str">
        <f t="shared" si="22"/>
        <v>ORD0767</v>
      </c>
      <c r="B768" s="34">
        <v>45894</v>
      </c>
      <c r="C768" s="38" t="s">
        <v>61</v>
      </c>
      <c r="D768" s="38" t="s">
        <v>28</v>
      </c>
      <c r="E768" s="38" t="s">
        <v>80</v>
      </c>
      <c r="F768" s="38" t="s">
        <v>49</v>
      </c>
      <c r="G768" s="38" t="s">
        <v>30</v>
      </c>
      <c r="H768" s="38">
        <v>6</v>
      </c>
      <c r="I768" s="38">
        <v>1200</v>
      </c>
      <c r="J768" s="38">
        <v>0.25</v>
      </c>
      <c r="K768" s="38">
        <f t="shared" si="23"/>
        <v>5400</v>
      </c>
      <c r="L768" s="38" t="s">
        <v>21</v>
      </c>
      <c r="M768" s="38" t="s">
        <v>27</v>
      </c>
      <c r="N768" s="4" t="str">
        <f>IF(I768=_xlfn.XLOOKUP(F768,Lists!$D$2:$D$13,Lists!$E$2:$E$13,"Not Found"),"OK","Check Price")</f>
        <v>Check Price</v>
      </c>
    </row>
    <row r="769" spans="1:14" ht="15.5" hidden="1" thickTop="1" thickBot="1" x14ac:dyDescent="0.4">
      <c r="A769" s="36" t="str">
        <f t="shared" si="22"/>
        <v>ORD0768</v>
      </c>
      <c r="B769" s="34">
        <v>45815</v>
      </c>
      <c r="C769" s="37" t="s">
        <v>70</v>
      </c>
      <c r="D769" s="37" t="s">
        <v>23</v>
      </c>
      <c r="E769" s="37" t="s">
        <v>35</v>
      </c>
      <c r="F769" s="37" t="s">
        <v>52</v>
      </c>
      <c r="G769" s="37" t="s">
        <v>30</v>
      </c>
      <c r="H769" s="37">
        <v>1</v>
      </c>
      <c r="I769" s="37">
        <v>5000</v>
      </c>
      <c r="J769" s="37">
        <v>0.1</v>
      </c>
      <c r="K769" s="37">
        <f t="shared" si="23"/>
        <v>4500</v>
      </c>
      <c r="L769" s="37" t="s">
        <v>21</v>
      </c>
      <c r="M769" s="37" t="s">
        <v>22</v>
      </c>
      <c r="N769" s="4" t="str">
        <f>IF(I769=_xlfn.XLOOKUP(F769,Lists!$D$2:$D$13,Lists!$E$2:$E$13,"Not Found"),"OK","Check Price")</f>
        <v>Check Price</v>
      </c>
    </row>
    <row r="770" spans="1:14" ht="15.5" hidden="1" thickTop="1" thickBot="1" x14ac:dyDescent="0.4">
      <c r="A770" s="36" t="str">
        <f t="shared" si="22"/>
        <v>ORD0769</v>
      </c>
      <c r="B770" s="34">
        <v>45678</v>
      </c>
      <c r="C770" s="38" t="s">
        <v>60</v>
      </c>
      <c r="D770" s="38" t="s">
        <v>28</v>
      </c>
      <c r="E770" s="38" t="s">
        <v>80</v>
      </c>
      <c r="F770" s="38" t="s">
        <v>49</v>
      </c>
      <c r="G770" s="38" t="s">
        <v>24</v>
      </c>
      <c r="H770" s="38">
        <v>2</v>
      </c>
      <c r="I770" s="38">
        <v>1500</v>
      </c>
      <c r="J770" s="38">
        <v>0.05</v>
      </c>
      <c r="K770" s="38">
        <f t="shared" si="23"/>
        <v>2850</v>
      </c>
      <c r="L770" s="38" t="s">
        <v>53</v>
      </c>
      <c r="M770" s="38" t="s">
        <v>27</v>
      </c>
      <c r="N770" s="4" t="str">
        <f>IF(I770=_xlfn.XLOOKUP(F770,Lists!$D$2:$D$13,Lists!$E$2:$E$13,"Not Found"),"OK","Check Price")</f>
        <v>Check Price</v>
      </c>
    </row>
    <row r="771" spans="1:14" ht="15.5" thickTop="1" thickBot="1" x14ac:dyDescent="0.4">
      <c r="A771" s="36" t="str">
        <f t="shared" ref="A771:A834" si="24">"ORD"&amp;TEXT(ROW()-1,"0000")</f>
        <v>ORD0770</v>
      </c>
      <c r="B771" s="34">
        <v>45638</v>
      </c>
      <c r="C771" s="37" t="s">
        <v>63</v>
      </c>
      <c r="D771" s="37" t="s">
        <v>28</v>
      </c>
      <c r="E771" s="37" t="s">
        <v>29</v>
      </c>
      <c r="F771" s="37" t="s">
        <v>46</v>
      </c>
      <c r="G771" s="35" t="str">
        <f>_xlfn.XLOOKUP(F771,Lists!$J$2:$J$13,Lists!$K$2:$K$13,"Not Found")</f>
        <v>Furniture</v>
      </c>
      <c r="H771" s="37">
        <v>2</v>
      </c>
      <c r="I771" s="35">
        <f>_xlfn.XLOOKUP(F771,Lists!$D$2:$D$13,Lists!$E$2:$E$13,"Not Found")</f>
        <v>22000</v>
      </c>
      <c r="J771" s="47">
        <v>0.15</v>
      </c>
      <c r="K771" s="35">
        <f>H771*I771*(1-J771)</f>
        <v>37400</v>
      </c>
      <c r="L771" s="37" t="s">
        <v>56</v>
      </c>
      <c r="M771" s="37" t="s">
        <v>27</v>
      </c>
      <c r="N771" s="4" t="str">
        <f>IF(I771=_xlfn.XLOOKUP(F771,Lists!$D$2:$D$13,Lists!$E$2:$E$13,"Not Found"),"OK","Check Price")</f>
        <v>OK</v>
      </c>
    </row>
    <row r="772" spans="1:14" ht="15.5" hidden="1" thickTop="1" thickBot="1" x14ac:dyDescent="0.4">
      <c r="A772" s="36" t="str">
        <f t="shared" si="24"/>
        <v>ORD0771</v>
      </c>
      <c r="B772" s="34">
        <v>45986</v>
      </c>
      <c r="C772" s="38" t="s">
        <v>63</v>
      </c>
      <c r="D772" s="38" t="s">
        <v>28</v>
      </c>
      <c r="E772" s="38" t="s">
        <v>80</v>
      </c>
      <c r="F772" s="38" t="s">
        <v>40</v>
      </c>
      <c r="G772" s="38" t="s">
        <v>19</v>
      </c>
      <c r="H772" s="38">
        <v>7</v>
      </c>
      <c r="I772" s="38">
        <v>12000</v>
      </c>
      <c r="J772" s="38">
        <v>0.05</v>
      </c>
      <c r="K772" s="38">
        <f t="shared" ref="K772:K834" si="25">H772*I772*(1-J772)</f>
        <v>79800</v>
      </c>
      <c r="L772" s="38" t="s">
        <v>47</v>
      </c>
      <c r="M772" s="38" t="s">
        <v>33</v>
      </c>
      <c r="N772" s="4" t="str">
        <f>IF(I772=_xlfn.XLOOKUP(F772,Lists!$D$2:$D$13,Lists!$E$2:$E$13,"Not Found"),"OK","Check Price")</f>
        <v>Check Price</v>
      </c>
    </row>
    <row r="773" spans="1:14" ht="15.5" thickTop="1" thickBot="1" x14ac:dyDescent="0.4">
      <c r="A773" s="36" t="str">
        <f t="shared" si="24"/>
        <v>ORD0772</v>
      </c>
      <c r="B773" s="34">
        <v>45483</v>
      </c>
      <c r="C773" s="37" t="s">
        <v>68</v>
      </c>
      <c r="D773" s="37" t="s">
        <v>23</v>
      </c>
      <c r="E773" s="37" t="s">
        <v>29</v>
      </c>
      <c r="F773" s="37" t="s">
        <v>46</v>
      </c>
      <c r="G773" s="35" t="str">
        <f>_xlfn.XLOOKUP(F773,Lists!$J$2:$J$13,Lists!$K$2:$K$13,"Not Found")</f>
        <v>Furniture</v>
      </c>
      <c r="H773" s="37">
        <v>1</v>
      </c>
      <c r="I773" s="35">
        <f>_xlfn.XLOOKUP(F773,Lists!$D$2:$D$13,Lists!$E$2:$E$13,"Not Found")</f>
        <v>22000</v>
      </c>
      <c r="J773" s="47">
        <v>0.1</v>
      </c>
      <c r="K773" s="35">
        <f>H773*I773*(1-J773)</f>
        <v>19800</v>
      </c>
      <c r="L773" s="37" t="s">
        <v>37</v>
      </c>
      <c r="M773" s="37" t="s">
        <v>33</v>
      </c>
      <c r="N773" s="4" t="str">
        <f>IF(I773=_xlfn.XLOOKUP(F773,Lists!$D$2:$D$13,Lists!$E$2:$E$13,"Not Found"),"OK","Check Price")</f>
        <v>OK</v>
      </c>
    </row>
    <row r="774" spans="1:14" ht="15.5" hidden="1" thickTop="1" thickBot="1" x14ac:dyDescent="0.4">
      <c r="A774" s="36" t="str">
        <f t="shared" si="24"/>
        <v>ORD0773</v>
      </c>
      <c r="B774" s="34">
        <v>45807</v>
      </c>
      <c r="C774" s="38" t="s">
        <v>74</v>
      </c>
      <c r="D774" s="38" t="s">
        <v>42</v>
      </c>
      <c r="E774" s="38" t="s">
        <v>35</v>
      </c>
      <c r="F774" s="38" t="s">
        <v>31</v>
      </c>
      <c r="G774" s="38" t="s">
        <v>30</v>
      </c>
      <c r="H774" s="38">
        <v>2</v>
      </c>
      <c r="I774" s="38">
        <v>12000</v>
      </c>
      <c r="J774" s="38">
        <v>0.25</v>
      </c>
      <c r="K774" s="38">
        <f t="shared" si="25"/>
        <v>18000</v>
      </c>
      <c r="L774" s="38" t="s">
        <v>44</v>
      </c>
      <c r="M774" s="38" t="s">
        <v>22</v>
      </c>
      <c r="N774" s="4" t="str">
        <f>IF(I774=_xlfn.XLOOKUP(F774,Lists!$D$2:$D$13,Lists!$E$2:$E$13,"Not Found"),"OK","Check Price")</f>
        <v>Check Price</v>
      </c>
    </row>
    <row r="775" spans="1:14" ht="15.5" hidden="1" thickTop="1" thickBot="1" x14ac:dyDescent="0.4">
      <c r="A775" s="36" t="str">
        <f t="shared" si="24"/>
        <v>ORD0774</v>
      </c>
      <c r="B775" s="34">
        <v>45716</v>
      </c>
      <c r="C775" s="37" t="s">
        <v>63</v>
      </c>
      <c r="D775" s="37" t="s">
        <v>42</v>
      </c>
      <c r="E775" s="37" t="s">
        <v>80</v>
      </c>
      <c r="F775" s="37" t="s">
        <v>43</v>
      </c>
      <c r="G775" s="37" t="s">
        <v>30</v>
      </c>
      <c r="H775" s="37">
        <v>8</v>
      </c>
      <c r="I775" s="37">
        <v>2500</v>
      </c>
      <c r="J775" s="37">
        <v>0.2</v>
      </c>
      <c r="K775" s="37">
        <f t="shared" si="25"/>
        <v>16000</v>
      </c>
      <c r="L775" s="37" t="s">
        <v>50</v>
      </c>
      <c r="M775" s="37" t="s">
        <v>22</v>
      </c>
      <c r="N775" s="4" t="str">
        <f>IF(I775=_xlfn.XLOOKUP(F775,Lists!$D$2:$D$13,Lists!$E$2:$E$13,"Not Found"),"OK","Check Price")</f>
        <v>Check Price</v>
      </c>
    </row>
    <row r="776" spans="1:14" ht="15.5" hidden="1" thickTop="1" thickBot="1" x14ac:dyDescent="0.4">
      <c r="A776" s="36" t="str">
        <f t="shared" si="24"/>
        <v>ORD0775</v>
      </c>
      <c r="B776" s="34">
        <v>45495</v>
      </c>
      <c r="C776" s="38" t="s">
        <v>63</v>
      </c>
      <c r="D776" s="38" t="s">
        <v>28</v>
      </c>
      <c r="E776" s="38" t="s">
        <v>80</v>
      </c>
      <c r="F776" s="38" t="s">
        <v>25</v>
      </c>
      <c r="G776" s="38" t="s">
        <v>30</v>
      </c>
      <c r="H776" s="38">
        <v>10</v>
      </c>
      <c r="I776" s="38">
        <v>30000</v>
      </c>
      <c r="J776" s="38">
        <v>0.05</v>
      </c>
      <c r="K776" s="38">
        <f t="shared" si="25"/>
        <v>285000</v>
      </c>
      <c r="L776" s="38" t="s">
        <v>21</v>
      </c>
      <c r="M776" s="38" t="s">
        <v>33</v>
      </c>
      <c r="N776" s="4" t="str">
        <f>IF(I776=_xlfn.XLOOKUP(F776,Lists!$D$2:$D$13,Lists!$E$2:$E$13,"Not Found"),"OK","Check Price")</f>
        <v>OK</v>
      </c>
    </row>
    <row r="777" spans="1:14" ht="15.5" hidden="1" thickTop="1" thickBot="1" x14ac:dyDescent="0.4">
      <c r="A777" s="36" t="str">
        <f t="shared" si="24"/>
        <v>ORD0776</v>
      </c>
      <c r="B777" s="34">
        <v>45346</v>
      </c>
      <c r="C777" s="37" t="s">
        <v>61</v>
      </c>
      <c r="D777" s="37" t="s">
        <v>28</v>
      </c>
      <c r="E777" s="37" t="s">
        <v>79</v>
      </c>
      <c r="F777" s="37" t="s">
        <v>43</v>
      </c>
      <c r="G777" s="37" t="s">
        <v>24</v>
      </c>
      <c r="H777" s="37">
        <v>4</v>
      </c>
      <c r="I777" s="37">
        <v>2500</v>
      </c>
      <c r="J777" s="37">
        <v>0.1</v>
      </c>
      <c r="K777" s="37">
        <f t="shared" si="25"/>
        <v>9000</v>
      </c>
      <c r="L777" s="37" t="s">
        <v>47</v>
      </c>
      <c r="M777" s="37" t="s">
        <v>27</v>
      </c>
      <c r="N777" s="4" t="str">
        <f>IF(I777=_xlfn.XLOOKUP(F777,Lists!$D$2:$D$13,Lists!$E$2:$E$13,"Not Found"),"OK","Check Price")</f>
        <v>Check Price</v>
      </c>
    </row>
    <row r="778" spans="1:14" ht="15.5" hidden="1" thickTop="1" thickBot="1" x14ac:dyDescent="0.4">
      <c r="A778" s="36" t="str">
        <f t="shared" si="24"/>
        <v>ORD0777</v>
      </c>
      <c r="B778" s="34">
        <v>45945</v>
      </c>
      <c r="C778" s="38" t="s">
        <v>76</v>
      </c>
      <c r="D778" s="38" t="s">
        <v>23</v>
      </c>
      <c r="E778" s="38" t="s">
        <v>80</v>
      </c>
      <c r="F778" s="38" t="s">
        <v>36</v>
      </c>
      <c r="G778" s="38" t="s">
        <v>24</v>
      </c>
      <c r="H778" s="38">
        <v>5</v>
      </c>
      <c r="I778" s="38">
        <v>1500</v>
      </c>
      <c r="J778" s="38">
        <v>0.15</v>
      </c>
      <c r="K778" s="38">
        <f t="shared" si="25"/>
        <v>6375</v>
      </c>
      <c r="L778" s="38" t="s">
        <v>47</v>
      </c>
      <c r="M778" s="38" t="s">
        <v>38</v>
      </c>
      <c r="N778" s="4" t="str">
        <f>IF(I778=_xlfn.XLOOKUP(F778,Lists!$D$2:$D$13,Lists!$E$2:$E$13,"Not Found"),"OK","Check Price")</f>
        <v>Check Price</v>
      </c>
    </row>
    <row r="779" spans="1:14" ht="15.5" hidden="1" thickTop="1" thickBot="1" x14ac:dyDescent="0.4">
      <c r="A779" s="36" t="str">
        <f t="shared" si="24"/>
        <v>ORD0778</v>
      </c>
      <c r="B779" s="34">
        <v>45915</v>
      </c>
      <c r="C779" s="37" t="s">
        <v>67</v>
      </c>
      <c r="D779" s="37" t="s">
        <v>45</v>
      </c>
      <c r="E779" s="37" t="s">
        <v>79</v>
      </c>
      <c r="F779" s="37" t="s">
        <v>58</v>
      </c>
      <c r="G779" s="37" t="s">
        <v>24</v>
      </c>
      <c r="H779" s="37">
        <v>4</v>
      </c>
      <c r="I779" s="37">
        <v>350</v>
      </c>
      <c r="J779" s="37">
        <v>0.2</v>
      </c>
      <c r="K779" s="37">
        <f t="shared" si="25"/>
        <v>1120</v>
      </c>
      <c r="L779" s="37" t="s">
        <v>32</v>
      </c>
      <c r="M779" s="37" t="s">
        <v>22</v>
      </c>
      <c r="N779" s="4" t="str">
        <f>IF(I779=_xlfn.XLOOKUP(F779,Lists!$D$2:$D$13,Lists!$E$2:$E$13,"Not Found"),"OK","Check Price")</f>
        <v>Check Price</v>
      </c>
    </row>
    <row r="780" spans="1:14" ht="15.5" hidden="1" thickTop="1" thickBot="1" x14ac:dyDescent="0.4">
      <c r="A780" s="36" t="str">
        <f t="shared" si="24"/>
        <v>ORD0779</v>
      </c>
      <c r="B780" s="34">
        <v>45529</v>
      </c>
      <c r="C780" s="38" t="s">
        <v>71</v>
      </c>
      <c r="D780" s="38" t="s">
        <v>23</v>
      </c>
      <c r="E780" s="38" t="s">
        <v>119</v>
      </c>
      <c r="F780" s="38" t="s">
        <v>36</v>
      </c>
      <c r="G780" s="38" t="s">
        <v>19</v>
      </c>
      <c r="H780" s="38">
        <v>2</v>
      </c>
      <c r="I780" s="38">
        <v>1500</v>
      </c>
      <c r="J780" s="38">
        <v>0.15</v>
      </c>
      <c r="K780" s="38">
        <f t="shared" si="25"/>
        <v>2550</v>
      </c>
      <c r="L780" s="38" t="s">
        <v>37</v>
      </c>
      <c r="M780" s="38" t="s">
        <v>22</v>
      </c>
      <c r="N780" s="4" t="str">
        <f>IF(I780=_xlfn.XLOOKUP(F780,Lists!$D$2:$D$13,Lists!$E$2:$E$13,"Not Found"),"OK","Check Price")</f>
        <v>Check Price</v>
      </c>
    </row>
    <row r="781" spans="1:14" ht="15.5" hidden="1" thickTop="1" thickBot="1" x14ac:dyDescent="0.4">
      <c r="A781" s="36" t="str">
        <f t="shared" si="24"/>
        <v>ORD0780</v>
      </c>
      <c r="B781" s="34">
        <v>45372</v>
      </c>
      <c r="C781" s="37" t="s">
        <v>72</v>
      </c>
      <c r="D781" s="37" t="s">
        <v>54</v>
      </c>
      <c r="E781" s="37" t="s">
        <v>29</v>
      </c>
      <c r="F781" s="37" t="s">
        <v>57</v>
      </c>
      <c r="G781" s="37" t="s">
        <v>30</v>
      </c>
      <c r="H781" s="37">
        <v>1</v>
      </c>
      <c r="I781" s="37">
        <v>1500</v>
      </c>
      <c r="J781" s="37">
        <v>0.15</v>
      </c>
      <c r="K781" s="37">
        <f t="shared" si="25"/>
        <v>1275</v>
      </c>
      <c r="L781" s="37" t="s">
        <v>37</v>
      </c>
      <c r="M781" s="37" t="s">
        <v>33</v>
      </c>
      <c r="N781" s="4" t="str">
        <f>IF(I781=_xlfn.XLOOKUP(F781,Lists!$D$2:$D$13,Lists!$E$2:$E$13,"Not Found"),"OK","Check Price")</f>
        <v>Check Price</v>
      </c>
    </row>
    <row r="782" spans="1:14" ht="15.5" hidden="1" thickTop="1" thickBot="1" x14ac:dyDescent="0.4">
      <c r="A782" s="36" t="str">
        <f t="shared" si="24"/>
        <v>ORD0781</v>
      </c>
      <c r="B782" s="34">
        <v>45655</v>
      </c>
      <c r="C782" s="38" t="s">
        <v>63</v>
      </c>
      <c r="D782" s="38" t="s">
        <v>17</v>
      </c>
      <c r="E782" s="38" t="s">
        <v>80</v>
      </c>
      <c r="F782" s="38" t="s">
        <v>25</v>
      </c>
      <c r="G782" s="38" t="s">
        <v>30</v>
      </c>
      <c r="H782" s="38">
        <v>8</v>
      </c>
      <c r="I782" s="38">
        <v>4000</v>
      </c>
      <c r="J782" s="38">
        <v>0.25</v>
      </c>
      <c r="K782" s="38">
        <f t="shared" si="25"/>
        <v>24000</v>
      </c>
      <c r="L782" s="38" t="s">
        <v>50</v>
      </c>
      <c r="M782" s="38" t="s">
        <v>27</v>
      </c>
      <c r="N782" s="4" t="str">
        <f>IF(I782=_xlfn.XLOOKUP(F782,Lists!$D$2:$D$13,Lists!$E$2:$E$13,"Not Found"),"OK","Check Price")</f>
        <v>Check Price</v>
      </c>
    </row>
    <row r="783" spans="1:14" ht="15.5" hidden="1" thickTop="1" thickBot="1" x14ac:dyDescent="0.4">
      <c r="A783" s="36" t="str">
        <f t="shared" si="24"/>
        <v>ORD0782</v>
      </c>
      <c r="B783" s="34">
        <v>45960</v>
      </c>
      <c r="C783" s="37" t="s">
        <v>69</v>
      </c>
      <c r="D783" s="37" t="s">
        <v>39</v>
      </c>
      <c r="E783" s="37" t="s">
        <v>29</v>
      </c>
      <c r="F783" s="37" t="s">
        <v>49</v>
      </c>
      <c r="G783" s="37" t="s">
        <v>24</v>
      </c>
      <c r="H783" s="37">
        <v>7</v>
      </c>
      <c r="I783" s="37">
        <v>2500</v>
      </c>
      <c r="J783" s="37">
        <v>0.25</v>
      </c>
      <c r="K783" s="37">
        <f t="shared" si="25"/>
        <v>13125</v>
      </c>
      <c r="L783" s="37" t="s">
        <v>26</v>
      </c>
      <c r="M783" s="37" t="s">
        <v>38</v>
      </c>
      <c r="N783" s="4" t="str">
        <f>IF(I783=_xlfn.XLOOKUP(F783,Lists!$D$2:$D$13,Lists!$E$2:$E$13,"Not Found"),"OK","Check Price")</f>
        <v>Check Price</v>
      </c>
    </row>
    <row r="784" spans="1:14" ht="15.5" hidden="1" thickTop="1" thickBot="1" x14ac:dyDescent="0.4">
      <c r="A784" s="36" t="str">
        <f t="shared" si="24"/>
        <v>ORD0783</v>
      </c>
      <c r="B784" s="34">
        <v>45562</v>
      </c>
      <c r="C784" s="38" t="s">
        <v>59</v>
      </c>
      <c r="D784" s="38" t="s">
        <v>51</v>
      </c>
      <c r="E784" s="38" t="s">
        <v>29</v>
      </c>
      <c r="F784" s="38" t="s">
        <v>49</v>
      </c>
      <c r="G784" s="38" t="s">
        <v>30</v>
      </c>
      <c r="H784" s="38">
        <v>9</v>
      </c>
      <c r="I784" s="38">
        <v>30000</v>
      </c>
      <c r="J784" s="38">
        <v>0.25</v>
      </c>
      <c r="K784" s="38">
        <f t="shared" si="25"/>
        <v>202500</v>
      </c>
      <c r="L784" s="38" t="s">
        <v>21</v>
      </c>
      <c r="M784" s="38" t="s">
        <v>33</v>
      </c>
      <c r="N784" s="4" t="str">
        <f>IF(I784=_xlfn.XLOOKUP(F784,Lists!$D$2:$D$13,Lists!$E$2:$E$13,"Not Found"),"OK","Check Price")</f>
        <v>Check Price</v>
      </c>
    </row>
    <row r="785" spans="1:14" ht="15.5" thickTop="1" thickBot="1" x14ac:dyDescent="0.4">
      <c r="A785" s="36" t="str">
        <f t="shared" si="24"/>
        <v>ORD0784</v>
      </c>
      <c r="B785" s="34">
        <v>46010</v>
      </c>
      <c r="C785" s="37" t="s">
        <v>78</v>
      </c>
      <c r="D785" s="37" t="s">
        <v>54</v>
      </c>
      <c r="E785" s="37" t="s">
        <v>80</v>
      </c>
      <c r="F785" s="37" t="s">
        <v>55</v>
      </c>
      <c r="G785" s="35" t="str">
        <f>_xlfn.XLOOKUP(F785,Lists!$J$2:$J$13,Lists!$K$2:$K$13,"Not Found")</f>
        <v>Office Supplies</v>
      </c>
      <c r="H785" s="37">
        <v>3</v>
      </c>
      <c r="I785" s="35">
        <f>_xlfn.XLOOKUP(F785,Lists!$D$2:$D$13,Lists!$E$2:$E$13,"Not Found")</f>
        <v>1500</v>
      </c>
      <c r="J785" s="47">
        <v>0.1</v>
      </c>
      <c r="K785" s="35">
        <f>H785*I785*(1-J785)</f>
        <v>4050</v>
      </c>
      <c r="L785" s="37" t="s">
        <v>26</v>
      </c>
      <c r="M785" s="37" t="s">
        <v>22</v>
      </c>
      <c r="N785" s="4" t="str">
        <f>IF(I785=_xlfn.XLOOKUP(F785,Lists!$D$2:$D$13,Lists!$E$2:$E$13,"Not Found"),"OK","Check Price")</f>
        <v>OK</v>
      </c>
    </row>
    <row r="786" spans="1:14" ht="15.5" hidden="1" thickTop="1" thickBot="1" x14ac:dyDescent="0.4">
      <c r="A786" s="36" t="str">
        <f t="shared" si="24"/>
        <v>ORD0785</v>
      </c>
      <c r="B786" s="34">
        <v>45891</v>
      </c>
      <c r="C786" s="38" t="s">
        <v>72</v>
      </c>
      <c r="D786" s="38" t="s">
        <v>42</v>
      </c>
      <c r="E786" s="38" t="s">
        <v>29</v>
      </c>
      <c r="F786" s="38" t="s">
        <v>52</v>
      </c>
      <c r="G786" s="38" t="s">
        <v>30</v>
      </c>
      <c r="H786" s="38">
        <v>3</v>
      </c>
      <c r="I786" s="38">
        <v>2500</v>
      </c>
      <c r="J786" s="38">
        <v>0.1</v>
      </c>
      <c r="K786" s="38">
        <f t="shared" si="25"/>
        <v>6750</v>
      </c>
      <c r="L786" s="38" t="s">
        <v>32</v>
      </c>
      <c r="M786" s="38" t="s">
        <v>33</v>
      </c>
      <c r="N786" s="4" t="str">
        <f>IF(I786=_xlfn.XLOOKUP(F786,Lists!$D$2:$D$13,Lists!$E$2:$E$13,"Not Found"),"OK","Check Price")</f>
        <v>Check Price</v>
      </c>
    </row>
    <row r="787" spans="1:14" ht="15.5" hidden="1" thickTop="1" thickBot="1" x14ac:dyDescent="0.4">
      <c r="A787" s="36" t="str">
        <f t="shared" si="24"/>
        <v>ORD0786</v>
      </c>
      <c r="B787" s="34">
        <v>45318</v>
      </c>
      <c r="C787" s="37" t="s">
        <v>59</v>
      </c>
      <c r="D787" s="37" t="s">
        <v>54</v>
      </c>
      <c r="E787" s="37" t="s">
        <v>119</v>
      </c>
      <c r="F787" s="37" t="s">
        <v>43</v>
      </c>
      <c r="G787" s="37" t="s">
        <v>30</v>
      </c>
      <c r="H787" s="37">
        <v>5</v>
      </c>
      <c r="I787" s="37">
        <v>22000</v>
      </c>
      <c r="J787" s="37">
        <v>0.05</v>
      </c>
      <c r="K787" s="37">
        <f t="shared" si="25"/>
        <v>104500</v>
      </c>
      <c r="L787" s="37" t="s">
        <v>21</v>
      </c>
      <c r="M787" s="37" t="s">
        <v>38</v>
      </c>
      <c r="N787" s="4" t="str">
        <f>IF(I787=_xlfn.XLOOKUP(F787,Lists!$D$2:$D$13,Lists!$E$2:$E$13,"Not Found"),"OK","Check Price")</f>
        <v>Check Price</v>
      </c>
    </row>
    <row r="788" spans="1:14" ht="15.5" hidden="1" thickTop="1" thickBot="1" x14ac:dyDescent="0.4">
      <c r="A788" s="36" t="str">
        <f t="shared" si="24"/>
        <v>ORD0787</v>
      </c>
      <c r="B788" s="34">
        <v>45981</v>
      </c>
      <c r="C788" s="38" t="s">
        <v>74</v>
      </c>
      <c r="D788" s="38" t="s">
        <v>42</v>
      </c>
      <c r="E788" s="38" t="s">
        <v>29</v>
      </c>
      <c r="F788" s="38" t="s">
        <v>40</v>
      </c>
      <c r="G788" s="38" t="s">
        <v>30</v>
      </c>
      <c r="H788" s="38">
        <v>2</v>
      </c>
      <c r="I788" s="38">
        <v>350</v>
      </c>
      <c r="J788" s="38">
        <v>0.25</v>
      </c>
      <c r="K788" s="38">
        <f t="shared" si="25"/>
        <v>525</v>
      </c>
      <c r="L788" s="38" t="s">
        <v>53</v>
      </c>
      <c r="M788" s="38" t="s">
        <v>38</v>
      </c>
      <c r="N788" s="4" t="str">
        <f>IF(I788=_xlfn.XLOOKUP(F788,Lists!$D$2:$D$13,Lists!$E$2:$E$13,"Not Found"),"OK","Check Price")</f>
        <v>Check Price</v>
      </c>
    </row>
    <row r="789" spans="1:14" ht="15.5" hidden="1" thickTop="1" thickBot="1" x14ac:dyDescent="0.4">
      <c r="A789" s="36" t="str">
        <f t="shared" si="24"/>
        <v>ORD0788</v>
      </c>
      <c r="B789" s="34">
        <v>45410</v>
      </c>
      <c r="C789" s="37" t="s">
        <v>61</v>
      </c>
      <c r="D789" s="37" t="s">
        <v>48</v>
      </c>
      <c r="E789" s="37" t="s">
        <v>35</v>
      </c>
      <c r="F789" s="37" t="s">
        <v>40</v>
      </c>
      <c r="G789" s="37" t="s">
        <v>19</v>
      </c>
      <c r="H789" s="37">
        <v>8</v>
      </c>
      <c r="I789" s="37">
        <v>1500</v>
      </c>
      <c r="J789" s="37">
        <v>0.25</v>
      </c>
      <c r="K789" s="37">
        <f t="shared" si="25"/>
        <v>9000</v>
      </c>
      <c r="L789" s="37" t="s">
        <v>21</v>
      </c>
      <c r="M789" s="37" t="s">
        <v>33</v>
      </c>
      <c r="N789" s="4" t="str">
        <f>IF(I789=_xlfn.XLOOKUP(F789,Lists!$D$2:$D$13,Lists!$E$2:$E$13,"Not Found"),"OK","Check Price")</f>
        <v>Check Price</v>
      </c>
    </row>
    <row r="790" spans="1:14" ht="15.5" hidden="1" thickTop="1" thickBot="1" x14ac:dyDescent="0.4">
      <c r="A790" s="36" t="str">
        <f t="shared" si="24"/>
        <v>ORD0789</v>
      </c>
      <c r="B790" s="34">
        <v>45390</v>
      </c>
      <c r="C790" s="38" t="s">
        <v>77</v>
      </c>
      <c r="D790" s="38" t="s">
        <v>17</v>
      </c>
      <c r="E790" s="38" t="s">
        <v>18</v>
      </c>
      <c r="F790" s="38" t="s">
        <v>31</v>
      </c>
      <c r="G790" s="38" t="s">
        <v>19</v>
      </c>
      <c r="H790" s="38">
        <v>10</v>
      </c>
      <c r="I790" s="38">
        <v>2500</v>
      </c>
      <c r="J790" s="38">
        <v>0.2</v>
      </c>
      <c r="K790" s="38">
        <f t="shared" si="25"/>
        <v>20000</v>
      </c>
      <c r="L790" s="38" t="s">
        <v>32</v>
      </c>
      <c r="M790" s="38" t="s">
        <v>33</v>
      </c>
      <c r="N790" s="4" t="str">
        <f>IF(I790=_xlfn.XLOOKUP(F790,Lists!$D$2:$D$13,Lists!$E$2:$E$13,"Not Found"),"OK","Check Price")</f>
        <v>Check Price</v>
      </c>
    </row>
    <row r="791" spans="1:14" ht="15.5" hidden="1" thickTop="1" thickBot="1" x14ac:dyDescent="0.4">
      <c r="A791" s="36" t="str">
        <f t="shared" si="24"/>
        <v>ORD0790</v>
      </c>
      <c r="B791" s="34">
        <v>45808</v>
      </c>
      <c r="C791" s="37" t="s">
        <v>67</v>
      </c>
      <c r="D791" s="37" t="s">
        <v>28</v>
      </c>
      <c r="E791" s="37" t="s">
        <v>29</v>
      </c>
      <c r="F791" s="37" t="s">
        <v>57</v>
      </c>
      <c r="G791" s="37" t="s">
        <v>19</v>
      </c>
      <c r="H791" s="37">
        <v>7</v>
      </c>
      <c r="I791" s="37">
        <v>1200</v>
      </c>
      <c r="J791" s="37">
        <v>0.2</v>
      </c>
      <c r="K791" s="37">
        <f t="shared" si="25"/>
        <v>6720</v>
      </c>
      <c r="L791" s="37" t="s">
        <v>47</v>
      </c>
      <c r="M791" s="37" t="s">
        <v>33</v>
      </c>
      <c r="N791" s="4" t="str">
        <f>IF(I791=_xlfn.XLOOKUP(F791,Lists!$D$2:$D$13,Lists!$E$2:$E$13,"Not Found"),"OK","Check Price")</f>
        <v>Check Price</v>
      </c>
    </row>
    <row r="792" spans="1:14" ht="15.5" hidden="1" thickTop="1" thickBot="1" x14ac:dyDescent="0.4">
      <c r="A792" s="36" t="str">
        <f t="shared" si="24"/>
        <v>ORD0791</v>
      </c>
      <c r="B792" s="34">
        <v>45855</v>
      </c>
      <c r="C792" s="38" t="s">
        <v>74</v>
      </c>
      <c r="D792" s="38" t="s">
        <v>39</v>
      </c>
      <c r="E792" s="38" t="s">
        <v>119</v>
      </c>
      <c r="F792" s="38" t="s">
        <v>58</v>
      </c>
      <c r="G792" s="38" t="s">
        <v>24</v>
      </c>
      <c r="H792" s="38">
        <v>10</v>
      </c>
      <c r="I792" s="38">
        <v>28000</v>
      </c>
      <c r="J792" s="38">
        <v>0.1</v>
      </c>
      <c r="K792" s="38">
        <f t="shared" si="25"/>
        <v>252000</v>
      </c>
      <c r="L792" s="38" t="s">
        <v>37</v>
      </c>
      <c r="M792" s="38" t="s">
        <v>38</v>
      </c>
      <c r="N792" s="4" t="str">
        <f>IF(I792=_xlfn.XLOOKUP(F792,Lists!$D$2:$D$13,Lists!$E$2:$E$13,"Not Found"),"OK","Check Price")</f>
        <v>Check Price</v>
      </c>
    </row>
    <row r="793" spans="1:14" ht="15.5" hidden="1" thickTop="1" thickBot="1" x14ac:dyDescent="0.4">
      <c r="A793" s="36" t="str">
        <f t="shared" si="24"/>
        <v>ORD0792</v>
      </c>
      <c r="B793" s="34">
        <v>45562</v>
      </c>
      <c r="C793" s="37" t="s">
        <v>64</v>
      </c>
      <c r="D793" s="37" t="s">
        <v>42</v>
      </c>
      <c r="E793" s="37" t="s">
        <v>80</v>
      </c>
      <c r="F793" s="37" t="s">
        <v>31</v>
      </c>
      <c r="G793" s="37" t="s">
        <v>24</v>
      </c>
      <c r="H793" s="37">
        <v>6</v>
      </c>
      <c r="I793" s="37">
        <v>1200</v>
      </c>
      <c r="J793" s="37">
        <v>0.25</v>
      </c>
      <c r="K793" s="37">
        <f t="shared" si="25"/>
        <v>5400</v>
      </c>
      <c r="L793" s="37" t="s">
        <v>50</v>
      </c>
      <c r="M793" s="37" t="s">
        <v>33</v>
      </c>
      <c r="N793" s="4" t="str">
        <f>IF(I793=_xlfn.XLOOKUP(F793,Lists!$D$2:$D$13,Lists!$E$2:$E$13,"Not Found"),"OK","Check Price")</f>
        <v>Check Price</v>
      </c>
    </row>
    <row r="794" spans="1:14" ht="15.5" hidden="1" thickTop="1" thickBot="1" x14ac:dyDescent="0.4">
      <c r="A794" s="36" t="str">
        <f t="shared" si="24"/>
        <v>ORD0793</v>
      </c>
      <c r="B794" s="34">
        <v>45840</v>
      </c>
      <c r="C794" s="38" t="s">
        <v>74</v>
      </c>
      <c r="D794" s="38" t="s">
        <v>34</v>
      </c>
      <c r="E794" s="38" t="s">
        <v>79</v>
      </c>
      <c r="F794" s="38" t="s">
        <v>52</v>
      </c>
      <c r="G794" s="38" t="s">
        <v>30</v>
      </c>
      <c r="H794" s="38">
        <v>5</v>
      </c>
      <c r="I794" s="38">
        <v>350</v>
      </c>
      <c r="J794" s="38">
        <v>0.1</v>
      </c>
      <c r="K794" s="38">
        <f t="shared" si="25"/>
        <v>1575</v>
      </c>
      <c r="L794" s="38" t="s">
        <v>37</v>
      </c>
      <c r="M794" s="38" t="s">
        <v>27</v>
      </c>
      <c r="N794" s="4" t="str">
        <f>IF(I794=_xlfn.XLOOKUP(F794,Lists!$D$2:$D$13,Lists!$E$2:$E$13,"Not Found"),"OK","Check Price")</f>
        <v>Check Price</v>
      </c>
    </row>
    <row r="795" spans="1:14" ht="15.5" thickTop="1" thickBot="1" x14ac:dyDescent="0.4">
      <c r="A795" s="36" t="str">
        <f t="shared" si="24"/>
        <v>ORD0794</v>
      </c>
      <c r="B795" s="34">
        <v>45551</v>
      </c>
      <c r="C795" s="37" t="s">
        <v>72</v>
      </c>
      <c r="D795" s="37" t="s">
        <v>39</v>
      </c>
      <c r="E795" s="37" t="s">
        <v>29</v>
      </c>
      <c r="F795" s="37" t="s">
        <v>46</v>
      </c>
      <c r="G795" s="35" t="str">
        <f>_xlfn.XLOOKUP(F795,Lists!$J$2:$J$13,Lists!$K$2:$K$13,"Not Found")</f>
        <v>Furniture</v>
      </c>
      <c r="H795" s="37">
        <v>2</v>
      </c>
      <c r="I795" s="35">
        <f>_xlfn.XLOOKUP(F795,Lists!$D$2:$D$13,Lists!$E$2:$E$13,"Not Found")</f>
        <v>22000</v>
      </c>
      <c r="J795" s="47">
        <v>0.1</v>
      </c>
      <c r="K795" s="35">
        <f>H795*I795*(1-J795)</f>
        <v>39600</v>
      </c>
      <c r="L795" s="37" t="s">
        <v>26</v>
      </c>
      <c r="M795" s="37" t="s">
        <v>38</v>
      </c>
      <c r="N795" s="4" t="str">
        <f>IF(I795=_xlfn.XLOOKUP(F795,Lists!$D$2:$D$13,Lists!$E$2:$E$13,"Not Found"),"OK","Check Price")</f>
        <v>OK</v>
      </c>
    </row>
    <row r="796" spans="1:14" ht="15.5" hidden="1" thickTop="1" thickBot="1" x14ac:dyDescent="0.4">
      <c r="A796" s="36" t="str">
        <f t="shared" si="24"/>
        <v>ORD0795</v>
      </c>
      <c r="B796" s="34">
        <v>45904</v>
      </c>
      <c r="C796" s="38" t="s">
        <v>60</v>
      </c>
      <c r="D796" s="38" t="s">
        <v>28</v>
      </c>
      <c r="E796" s="38" t="s">
        <v>35</v>
      </c>
      <c r="F796" s="38" t="s">
        <v>43</v>
      </c>
      <c r="G796" s="38" t="s">
        <v>19</v>
      </c>
      <c r="H796" s="38">
        <v>1</v>
      </c>
      <c r="I796" s="38">
        <v>350</v>
      </c>
      <c r="J796" s="38">
        <v>0.05</v>
      </c>
      <c r="K796" s="38">
        <f t="shared" si="25"/>
        <v>332.5</v>
      </c>
      <c r="L796" s="38" t="s">
        <v>32</v>
      </c>
      <c r="M796" s="38" t="s">
        <v>22</v>
      </c>
      <c r="N796" s="4" t="str">
        <f>IF(I796=_xlfn.XLOOKUP(F796,Lists!$D$2:$D$13,Lists!$E$2:$E$13,"Not Found"),"OK","Check Price")</f>
        <v>Check Price</v>
      </c>
    </row>
    <row r="797" spans="1:14" ht="15.5" hidden="1" thickTop="1" thickBot="1" x14ac:dyDescent="0.4">
      <c r="A797" s="36" t="str">
        <f t="shared" si="24"/>
        <v>ORD0796</v>
      </c>
      <c r="B797" s="34">
        <v>45513</v>
      </c>
      <c r="C797" s="37" t="s">
        <v>67</v>
      </c>
      <c r="D797" s="37" t="s">
        <v>45</v>
      </c>
      <c r="E797" s="37" t="s">
        <v>79</v>
      </c>
      <c r="F797" s="37" t="s">
        <v>58</v>
      </c>
      <c r="G797" s="37" t="s">
        <v>30</v>
      </c>
      <c r="H797" s="37">
        <v>8</v>
      </c>
      <c r="I797" s="37">
        <v>28000</v>
      </c>
      <c r="J797" s="37">
        <v>0.05</v>
      </c>
      <c r="K797" s="37">
        <f t="shared" si="25"/>
        <v>212800</v>
      </c>
      <c r="L797" s="37" t="s">
        <v>44</v>
      </c>
      <c r="M797" s="37" t="s">
        <v>33</v>
      </c>
      <c r="N797" s="4" t="str">
        <f>IF(I797=_xlfn.XLOOKUP(F797,Lists!$D$2:$D$13,Lists!$E$2:$E$13,"Not Found"),"OK","Check Price")</f>
        <v>Check Price</v>
      </c>
    </row>
    <row r="798" spans="1:14" ht="15.5" hidden="1" thickTop="1" thickBot="1" x14ac:dyDescent="0.4">
      <c r="A798" s="36" t="str">
        <f t="shared" si="24"/>
        <v>ORD0797</v>
      </c>
      <c r="B798" s="34">
        <v>45636</v>
      </c>
      <c r="C798" s="38" t="s">
        <v>61</v>
      </c>
      <c r="D798" s="38" t="s">
        <v>34</v>
      </c>
      <c r="E798" s="38" t="s">
        <v>79</v>
      </c>
      <c r="F798" s="38" t="s">
        <v>40</v>
      </c>
      <c r="G798" s="38" t="s">
        <v>19</v>
      </c>
      <c r="H798" s="38">
        <v>4</v>
      </c>
      <c r="I798" s="38">
        <v>28000</v>
      </c>
      <c r="J798" s="38">
        <v>0.1</v>
      </c>
      <c r="K798" s="38">
        <f t="shared" si="25"/>
        <v>100800</v>
      </c>
      <c r="L798" s="38" t="s">
        <v>50</v>
      </c>
      <c r="M798" s="38" t="s">
        <v>22</v>
      </c>
      <c r="N798" s="4" t="str">
        <f>IF(I798=_xlfn.XLOOKUP(F798,Lists!$D$2:$D$13,Lists!$E$2:$E$13,"Not Found"),"OK","Check Price")</f>
        <v>OK</v>
      </c>
    </row>
    <row r="799" spans="1:14" ht="15.5" hidden="1" thickTop="1" thickBot="1" x14ac:dyDescent="0.4">
      <c r="A799" s="36" t="str">
        <f t="shared" si="24"/>
        <v>ORD0798</v>
      </c>
      <c r="B799" s="34">
        <v>45408</v>
      </c>
      <c r="C799" s="37" t="s">
        <v>78</v>
      </c>
      <c r="D799" s="37" t="s">
        <v>45</v>
      </c>
      <c r="E799" s="37" t="s">
        <v>29</v>
      </c>
      <c r="F799" s="37" t="s">
        <v>25</v>
      </c>
      <c r="G799" s="37" t="s">
        <v>24</v>
      </c>
      <c r="H799" s="37">
        <v>9</v>
      </c>
      <c r="I799" s="37">
        <v>1500</v>
      </c>
      <c r="J799" s="37">
        <v>0.15</v>
      </c>
      <c r="K799" s="37">
        <f t="shared" si="25"/>
        <v>11475</v>
      </c>
      <c r="L799" s="37" t="s">
        <v>32</v>
      </c>
      <c r="M799" s="37" t="s">
        <v>38</v>
      </c>
      <c r="N799" s="4" t="str">
        <f>IF(I799=_xlfn.XLOOKUP(F799,Lists!$D$2:$D$13,Lists!$E$2:$E$13,"Not Found"),"OK","Check Price")</f>
        <v>Check Price</v>
      </c>
    </row>
    <row r="800" spans="1:14" ht="15.5" hidden="1" thickTop="1" thickBot="1" x14ac:dyDescent="0.4">
      <c r="A800" s="36" t="str">
        <f t="shared" si="24"/>
        <v>ORD0799</v>
      </c>
      <c r="B800" s="34">
        <v>45768</v>
      </c>
      <c r="C800" s="38" t="s">
        <v>61</v>
      </c>
      <c r="D800" s="38" t="s">
        <v>17</v>
      </c>
      <c r="E800" s="38" t="s">
        <v>18</v>
      </c>
      <c r="F800" s="38" t="s">
        <v>43</v>
      </c>
      <c r="G800" s="38" t="s">
        <v>30</v>
      </c>
      <c r="H800" s="38">
        <v>9</v>
      </c>
      <c r="I800" s="38">
        <v>350</v>
      </c>
      <c r="J800" s="38">
        <v>0.25</v>
      </c>
      <c r="K800" s="38">
        <f t="shared" si="25"/>
        <v>2362.5</v>
      </c>
      <c r="L800" s="38" t="s">
        <v>53</v>
      </c>
      <c r="M800" s="38" t="s">
        <v>27</v>
      </c>
      <c r="N800" s="4" t="str">
        <f>IF(I800=_xlfn.XLOOKUP(F800,Lists!$D$2:$D$13,Lists!$E$2:$E$13,"Not Found"),"OK","Check Price")</f>
        <v>Check Price</v>
      </c>
    </row>
    <row r="801" spans="1:14" ht="15.5" hidden="1" thickTop="1" thickBot="1" x14ac:dyDescent="0.4">
      <c r="A801" s="36" t="str">
        <f t="shared" si="24"/>
        <v>ORD0800</v>
      </c>
      <c r="B801" s="34">
        <v>45788</v>
      </c>
      <c r="C801" s="37" t="s">
        <v>70</v>
      </c>
      <c r="D801" s="37" t="s">
        <v>48</v>
      </c>
      <c r="E801" s="37" t="s">
        <v>29</v>
      </c>
      <c r="F801" s="37" t="s">
        <v>52</v>
      </c>
      <c r="G801" s="37" t="s">
        <v>30</v>
      </c>
      <c r="H801" s="37">
        <v>2</v>
      </c>
      <c r="I801" s="37">
        <v>350</v>
      </c>
      <c r="J801" s="37">
        <v>0.2</v>
      </c>
      <c r="K801" s="37">
        <f t="shared" si="25"/>
        <v>560</v>
      </c>
      <c r="L801" s="37" t="s">
        <v>56</v>
      </c>
      <c r="M801" s="37" t="s">
        <v>33</v>
      </c>
      <c r="N801" s="4" t="str">
        <f>IF(I801=_xlfn.XLOOKUP(F801,Lists!$D$2:$D$13,Lists!$E$2:$E$13,"Not Found"),"OK","Check Price")</f>
        <v>Check Price</v>
      </c>
    </row>
    <row r="802" spans="1:14" ht="15.5" hidden="1" thickTop="1" thickBot="1" x14ac:dyDescent="0.4">
      <c r="A802" s="36" t="str">
        <f t="shared" si="24"/>
        <v>ORD0801</v>
      </c>
      <c r="B802" s="34">
        <v>45856</v>
      </c>
      <c r="C802" s="38" t="s">
        <v>62</v>
      </c>
      <c r="D802" s="38" t="s">
        <v>51</v>
      </c>
      <c r="E802" s="38" t="s">
        <v>79</v>
      </c>
      <c r="F802" s="38" t="s">
        <v>49</v>
      </c>
      <c r="G802" s="38" t="s">
        <v>19</v>
      </c>
      <c r="H802" s="38">
        <v>2</v>
      </c>
      <c r="I802" s="38">
        <v>85000</v>
      </c>
      <c r="J802" s="38">
        <v>0.2</v>
      </c>
      <c r="K802" s="38">
        <f t="shared" si="25"/>
        <v>136000</v>
      </c>
      <c r="L802" s="38" t="s">
        <v>37</v>
      </c>
      <c r="M802" s="38" t="s">
        <v>22</v>
      </c>
      <c r="N802" s="4" t="str">
        <f>IF(I802=_xlfn.XLOOKUP(F802,Lists!$D$2:$D$13,Lists!$E$2:$E$13,"Not Found"),"OK","Check Price")</f>
        <v>Check Price</v>
      </c>
    </row>
    <row r="803" spans="1:14" ht="15.5" thickTop="1" thickBot="1" x14ac:dyDescent="0.4">
      <c r="A803" s="36" t="str">
        <f t="shared" si="24"/>
        <v>ORD0802</v>
      </c>
      <c r="B803" s="34">
        <v>45644</v>
      </c>
      <c r="C803" s="37" t="s">
        <v>78</v>
      </c>
      <c r="D803" s="37" t="s">
        <v>42</v>
      </c>
      <c r="E803" s="37" t="s">
        <v>29</v>
      </c>
      <c r="F803" s="37" t="s">
        <v>46</v>
      </c>
      <c r="G803" s="35" t="str">
        <f>_xlfn.XLOOKUP(F803,Lists!$J$2:$J$13,Lists!$K$2:$K$13,"Not Found")</f>
        <v>Furniture</v>
      </c>
      <c r="H803" s="37">
        <v>4</v>
      </c>
      <c r="I803" s="35">
        <f>_xlfn.XLOOKUP(F803,Lists!$D$2:$D$13,Lists!$E$2:$E$13,"Not Found")</f>
        <v>22000</v>
      </c>
      <c r="J803" s="47">
        <v>0.25</v>
      </c>
      <c r="K803" s="35">
        <f>H803*I803*(1-J803)</f>
        <v>66000</v>
      </c>
      <c r="L803" s="37" t="s">
        <v>47</v>
      </c>
      <c r="M803" s="37" t="s">
        <v>27</v>
      </c>
      <c r="N803" s="4" t="str">
        <f>IF(I803=_xlfn.XLOOKUP(F803,Lists!$D$2:$D$13,Lists!$E$2:$E$13,"Not Found"),"OK","Check Price")</f>
        <v>OK</v>
      </c>
    </row>
    <row r="804" spans="1:14" ht="15.5" hidden="1" thickTop="1" thickBot="1" x14ac:dyDescent="0.4">
      <c r="A804" s="36" t="str">
        <f t="shared" si="24"/>
        <v>ORD0803</v>
      </c>
      <c r="B804" s="34">
        <v>45939</v>
      </c>
      <c r="C804" s="38" t="s">
        <v>78</v>
      </c>
      <c r="D804" s="38" t="s">
        <v>45</v>
      </c>
      <c r="E804" s="38" t="s">
        <v>79</v>
      </c>
      <c r="F804" s="38" t="s">
        <v>40</v>
      </c>
      <c r="G804" s="38" t="s">
        <v>24</v>
      </c>
      <c r="H804" s="38">
        <v>3</v>
      </c>
      <c r="I804" s="38">
        <v>4000</v>
      </c>
      <c r="J804" s="38">
        <v>0.15</v>
      </c>
      <c r="K804" s="38">
        <f t="shared" si="25"/>
        <v>10200</v>
      </c>
      <c r="L804" s="38" t="s">
        <v>21</v>
      </c>
      <c r="M804" s="38" t="s">
        <v>22</v>
      </c>
      <c r="N804" s="4" t="str">
        <f>IF(I804=_xlfn.XLOOKUP(F804,Lists!$D$2:$D$13,Lists!$E$2:$E$13,"Not Found"),"OK","Check Price")</f>
        <v>Check Price</v>
      </c>
    </row>
    <row r="805" spans="1:14" ht="15.5" hidden="1" thickTop="1" thickBot="1" x14ac:dyDescent="0.4">
      <c r="A805" s="36" t="str">
        <f t="shared" si="24"/>
        <v>ORD0804</v>
      </c>
      <c r="B805" s="34">
        <v>45364</v>
      </c>
      <c r="C805" s="37" t="s">
        <v>67</v>
      </c>
      <c r="D805" s="37" t="s">
        <v>28</v>
      </c>
      <c r="E805" s="37" t="s">
        <v>79</v>
      </c>
      <c r="F805" s="37" t="s">
        <v>43</v>
      </c>
      <c r="G805" s="37" t="s">
        <v>24</v>
      </c>
      <c r="H805" s="37">
        <v>7</v>
      </c>
      <c r="I805" s="37">
        <v>30000</v>
      </c>
      <c r="J805" s="37">
        <v>0.2</v>
      </c>
      <c r="K805" s="37">
        <f t="shared" si="25"/>
        <v>168000</v>
      </c>
      <c r="L805" s="37" t="s">
        <v>21</v>
      </c>
      <c r="M805" s="37" t="s">
        <v>33</v>
      </c>
      <c r="N805" s="4" t="str">
        <f>IF(I805=_xlfn.XLOOKUP(F805,Lists!$D$2:$D$13,Lists!$E$2:$E$13,"Not Found"),"OK","Check Price")</f>
        <v>Check Price</v>
      </c>
    </row>
    <row r="806" spans="1:14" ht="15.5" hidden="1" thickTop="1" thickBot="1" x14ac:dyDescent="0.4">
      <c r="A806" s="36" t="str">
        <f t="shared" si="24"/>
        <v>ORD0805</v>
      </c>
      <c r="B806" s="34">
        <v>45535</v>
      </c>
      <c r="C806" s="38" t="s">
        <v>61</v>
      </c>
      <c r="D806" s="38" t="s">
        <v>39</v>
      </c>
      <c r="E806" s="38" t="s">
        <v>79</v>
      </c>
      <c r="F806" s="38" t="s">
        <v>36</v>
      </c>
      <c r="G806" s="38" t="s">
        <v>24</v>
      </c>
      <c r="H806" s="38">
        <v>8</v>
      </c>
      <c r="I806" s="38">
        <v>85000</v>
      </c>
      <c r="J806" s="38">
        <v>0.1</v>
      </c>
      <c r="K806" s="38">
        <f t="shared" si="25"/>
        <v>612000</v>
      </c>
      <c r="L806" s="38" t="s">
        <v>41</v>
      </c>
      <c r="M806" s="38" t="s">
        <v>22</v>
      </c>
      <c r="N806" s="4" t="str">
        <f>IF(I806=_xlfn.XLOOKUP(F806,Lists!$D$2:$D$13,Lists!$E$2:$E$13,"Not Found"),"OK","Check Price")</f>
        <v>Check Price</v>
      </c>
    </row>
    <row r="807" spans="1:14" ht="15.5" thickTop="1" thickBot="1" x14ac:dyDescent="0.4">
      <c r="A807" s="36" t="str">
        <f t="shared" si="24"/>
        <v>ORD0806</v>
      </c>
      <c r="B807" s="34">
        <v>45726</v>
      </c>
      <c r="C807" s="37" t="s">
        <v>77</v>
      </c>
      <c r="D807" s="37" t="s">
        <v>51</v>
      </c>
      <c r="E807" s="37" t="s">
        <v>35</v>
      </c>
      <c r="F807" s="37" t="s">
        <v>55</v>
      </c>
      <c r="G807" s="35" t="str">
        <f>_xlfn.XLOOKUP(F807,Lists!$J$2:$J$13,Lists!$K$2:$K$13,"Not Found")</f>
        <v>Office Supplies</v>
      </c>
      <c r="H807" s="37">
        <v>9</v>
      </c>
      <c r="I807" s="35">
        <f>_xlfn.XLOOKUP(F807,Lists!$D$2:$D$13,Lists!$E$2:$E$13,"Not Found")</f>
        <v>1500</v>
      </c>
      <c r="J807" s="47">
        <v>0.1</v>
      </c>
      <c r="K807" s="35">
        <f>H807*I807*(1-J807)</f>
        <v>12150</v>
      </c>
      <c r="L807" s="37" t="s">
        <v>21</v>
      </c>
      <c r="M807" s="37" t="s">
        <v>22</v>
      </c>
      <c r="N807" s="4" t="str">
        <f>IF(I807=_xlfn.XLOOKUP(F807,Lists!$D$2:$D$13,Lists!$E$2:$E$13,"Not Found"),"OK","Check Price")</f>
        <v>OK</v>
      </c>
    </row>
    <row r="808" spans="1:14" ht="15.5" hidden="1" thickTop="1" thickBot="1" x14ac:dyDescent="0.4">
      <c r="A808" s="36" t="str">
        <f t="shared" si="24"/>
        <v>ORD0807</v>
      </c>
      <c r="B808" s="34">
        <v>45773</v>
      </c>
      <c r="C808" s="38" t="s">
        <v>71</v>
      </c>
      <c r="D808" s="38" t="s">
        <v>28</v>
      </c>
      <c r="E808" s="38" t="s">
        <v>79</v>
      </c>
      <c r="F808" s="38" t="s">
        <v>31</v>
      </c>
      <c r="G808" s="38" t="s">
        <v>19</v>
      </c>
      <c r="H808" s="38">
        <v>8</v>
      </c>
      <c r="I808" s="38">
        <v>2500</v>
      </c>
      <c r="J808" s="38">
        <v>0.25</v>
      </c>
      <c r="K808" s="38">
        <f t="shared" si="25"/>
        <v>15000</v>
      </c>
      <c r="L808" s="38" t="s">
        <v>21</v>
      </c>
      <c r="M808" s="38" t="s">
        <v>22</v>
      </c>
      <c r="N808" s="4" t="str">
        <f>IF(I808=_xlfn.XLOOKUP(F808,Lists!$D$2:$D$13,Lists!$E$2:$E$13,"Not Found"),"OK","Check Price")</f>
        <v>Check Price</v>
      </c>
    </row>
    <row r="809" spans="1:14" ht="15.5" thickTop="1" thickBot="1" x14ac:dyDescent="0.4">
      <c r="A809" s="36" t="str">
        <f t="shared" si="24"/>
        <v>ORD0808</v>
      </c>
      <c r="B809" s="34">
        <v>45523</v>
      </c>
      <c r="C809" s="37" t="s">
        <v>63</v>
      </c>
      <c r="D809" s="37" t="s">
        <v>28</v>
      </c>
      <c r="E809" s="37" t="s">
        <v>29</v>
      </c>
      <c r="F809" s="37" t="s">
        <v>20</v>
      </c>
      <c r="G809" s="35" t="str">
        <f>_xlfn.XLOOKUP(F809,Lists!$J$2:$J$13,Lists!$K$2:$K$13,"Not Found")</f>
        <v>Electronics</v>
      </c>
      <c r="H809" s="37">
        <v>1</v>
      </c>
      <c r="I809" s="35">
        <f>_xlfn.XLOOKUP(F809,Lists!$D$2:$D$13,Lists!$E$2:$E$13,"Not Found")</f>
        <v>85000</v>
      </c>
      <c r="J809" s="47">
        <v>0.2</v>
      </c>
      <c r="K809" s="35">
        <f>H809*I809*(1-J809)</f>
        <v>68000</v>
      </c>
      <c r="L809" s="37" t="s">
        <v>53</v>
      </c>
      <c r="M809" s="37" t="s">
        <v>22</v>
      </c>
      <c r="N809" s="4" t="str">
        <f>IF(I809=_xlfn.XLOOKUP(F809,Lists!$D$2:$D$13,Lists!$E$2:$E$13,"Not Found"),"OK","Check Price")</f>
        <v>OK</v>
      </c>
    </row>
    <row r="810" spans="1:14" ht="15.5" hidden="1" thickTop="1" thickBot="1" x14ac:dyDescent="0.4">
      <c r="A810" s="36" t="str">
        <f t="shared" si="24"/>
        <v>ORD0809</v>
      </c>
      <c r="B810" s="34">
        <v>45374</v>
      </c>
      <c r="C810" s="38" t="s">
        <v>78</v>
      </c>
      <c r="D810" s="38" t="s">
        <v>45</v>
      </c>
      <c r="E810" s="38" t="s">
        <v>80</v>
      </c>
      <c r="F810" s="38" t="s">
        <v>58</v>
      </c>
      <c r="G810" s="38" t="s">
        <v>19</v>
      </c>
      <c r="H810" s="38">
        <v>3</v>
      </c>
      <c r="I810" s="38">
        <v>2000</v>
      </c>
      <c r="J810" s="38">
        <v>0.25</v>
      </c>
      <c r="K810" s="38">
        <f t="shared" si="25"/>
        <v>4500</v>
      </c>
      <c r="L810" s="38" t="s">
        <v>47</v>
      </c>
      <c r="M810" s="38" t="s">
        <v>22</v>
      </c>
      <c r="N810" s="4" t="str">
        <f>IF(I810=_xlfn.XLOOKUP(F810,Lists!$D$2:$D$13,Lists!$E$2:$E$13,"Not Found"),"OK","Check Price")</f>
        <v>Check Price</v>
      </c>
    </row>
    <row r="811" spans="1:14" ht="15.5" hidden="1" thickTop="1" thickBot="1" x14ac:dyDescent="0.4">
      <c r="A811" s="36" t="str">
        <f t="shared" si="24"/>
        <v>ORD0810</v>
      </c>
      <c r="B811" s="34">
        <v>46018</v>
      </c>
      <c r="C811" s="37" t="s">
        <v>76</v>
      </c>
      <c r="D811" s="37" t="s">
        <v>23</v>
      </c>
      <c r="E811" s="37" t="s">
        <v>35</v>
      </c>
      <c r="F811" s="37" t="s">
        <v>57</v>
      </c>
      <c r="G811" s="37" t="s">
        <v>30</v>
      </c>
      <c r="H811" s="37">
        <v>8</v>
      </c>
      <c r="I811" s="37">
        <v>2000</v>
      </c>
      <c r="J811" s="37">
        <v>0.2</v>
      </c>
      <c r="K811" s="37">
        <f t="shared" si="25"/>
        <v>12800</v>
      </c>
      <c r="L811" s="37" t="s">
        <v>56</v>
      </c>
      <c r="M811" s="37" t="s">
        <v>33</v>
      </c>
      <c r="N811" s="4" t="str">
        <f>IF(I811=_xlfn.XLOOKUP(F811,Lists!$D$2:$D$13,Lists!$E$2:$E$13,"Not Found"),"OK","Check Price")</f>
        <v>OK</v>
      </c>
    </row>
    <row r="812" spans="1:14" ht="15.5" hidden="1" thickTop="1" thickBot="1" x14ac:dyDescent="0.4">
      <c r="A812" s="36" t="str">
        <f t="shared" si="24"/>
        <v>ORD0811</v>
      </c>
      <c r="B812" s="34">
        <v>45761</v>
      </c>
      <c r="C812" s="38" t="s">
        <v>71</v>
      </c>
      <c r="D812" s="38" t="s">
        <v>39</v>
      </c>
      <c r="E812" s="38" t="s">
        <v>119</v>
      </c>
      <c r="F812" s="38" t="s">
        <v>43</v>
      </c>
      <c r="G812" s="38" t="s">
        <v>19</v>
      </c>
      <c r="H812" s="38">
        <v>1</v>
      </c>
      <c r="I812" s="38">
        <v>30000</v>
      </c>
      <c r="J812" s="38">
        <v>0.1</v>
      </c>
      <c r="K812" s="38">
        <f t="shared" si="25"/>
        <v>27000</v>
      </c>
      <c r="L812" s="38" t="s">
        <v>47</v>
      </c>
      <c r="M812" s="38" t="s">
        <v>22</v>
      </c>
      <c r="N812" s="4" t="str">
        <f>IF(I812=_xlfn.XLOOKUP(F812,Lists!$D$2:$D$13,Lists!$E$2:$E$13,"Not Found"),"OK","Check Price")</f>
        <v>Check Price</v>
      </c>
    </row>
    <row r="813" spans="1:14" ht="15.5" thickTop="1" thickBot="1" x14ac:dyDescent="0.4">
      <c r="A813" s="36" t="str">
        <f t="shared" si="24"/>
        <v>ORD0812</v>
      </c>
      <c r="B813" s="34">
        <v>45479</v>
      </c>
      <c r="C813" s="37" t="s">
        <v>66</v>
      </c>
      <c r="D813" s="37" t="s">
        <v>45</v>
      </c>
      <c r="E813" s="37" t="s">
        <v>79</v>
      </c>
      <c r="F813" s="37" t="s">
        <v>20</v>
      </c>
      <c r="G813" s="35" t="str">
        <f>_xlfn.XLOOKUP(F813,Lists!$J$2:$J$13,Lists!$K$2:$K$13,"Not Found")</f>
        <v>Electronics</v>
      </c>
      <c r="H813" s="37">
        <v>7</v>
      </c>
      <c r="I813" s="35">
        <f>_xlfn.XLOOKUP(F813,Lists!$D$2:$D$13,Lists!$E$2:$E$13,"Not Found")</f>
        <v>85000</v>
      </c>
      <c r="J813" s="47">
        <v>0.25</v>
      </c>
      <c r="K813" s="35">
        <f>H813*I813*(1-J813)</f>
        <v>446250</v>
      </c>
      <c r="L813" s="37" t="s">
        <v>44</v>
      </c>
      <c r="M813" s="37" t="s">
        <v>33</v>
      </c>
      <c r="N813" s="4" t="str">
        <f>IF(I813=_xlfn.XLOOKUP(F813,Lists!$D$2:$D$13,Lists!$E$2:$E$13,"Not Found"),"OK","Check Price")</f>
        <v>OK</v>
      </c>
    </row>
    <row r="814" spans="1:14" ht="15.5" hidden="1" thickTop="1" thickBot="1" x14ac:dyDescent="0.4">
      <c r="A814" s="36" t="str">
        <f t="shared" si="24"/>
        <v>ORD0813</v>
      </c>
      <c r="B814" s="34">
        <v>45320</v>
      </c>
      <c r="C814" s="38" t="s">
        <v>67</v>
      </c>
      <c r="D814" s="38" t="s">
        <v>48</v>
      </c>
      <c r="E814" s="38" t="s">
        <v>29</v>
      </c>
      <c r="F814" s="38" t="s">
        <v>49</v>
      </c>
      <c r="G814" s="38" t="s">
        <v>30</v>
      </c>
      <c r="H814" s="38">
        <v>4</v>
      </c>
      <c r="I814" s="38">
        <v>350</v>
      </c>
      <c r="J814" s="38">
        <v>0.05</v>
      </c>
      <c r="K814" s="38">
        <f t="shared" si="25"/>
        <v>1330</v>
      </c>
      <c r="L814" s="38" t="s">
        <v>37</v>
      </c>
      <c r="M814" s="38" t="s">
        <v>27</v>
      </c>
      <c r="N814" s="4" t="str">
        <f>IF(I814=_xlfn.XLOOKUP(F814,Lists!$D$2:$D$13,Lists!$E$2:$E$13,"Not Found"),"OK","Check Price")</f>
        <v>OK</v>
      </c>
    </row>
    <row r="815" spans="1:14" ht="15.5" hidden="1" thickTop="1" thickBot="1" x14ac:dyDescent="0.4">
      <c r="A815" s="36" t="str">
        <f t="shared" si="24"/>
        <v>ORD0814</v>
      </c>
      <c r="B815" s="34">
        <v>45308</v>
      </c>
      <c r="C815" s="37" t="s">
        <v>78</v>
      </c>
      <c r="D815" s="37" t="s">
        <v>54</v>
      </c>
      <c r="E815" s="37" t="s">
        <v>79</v>
      </c>
      <c r="F815" s="37" t="s">
        <v>43</v>
      </c>
      <c r="G815" s="37" t="s">
        <v>30</v>
      </c>
      <c r="H815" s="37">
        <v>7</v>
      </c>
      <c r="I815" s="37">
        <v>1200</v>
      </c>
      <c r="J815" s="37">
        <v>0.15</v>
      </c>
      <c r="K815" s="37">
        <f t="shared" si="25"/>
        <v>7140</v>
      </c>
      <c r="L815" s="37" t="s">
        <v>41</v>
      </c>
      <c r="M815" s="37" t="s">
        <v>22</v>
      </c>
      <c r="N815" s="4" t="str">
        <f>IF(I815=_xlfn.XLOOKUP(F815,Lists!$D$2:$D$13,Lists!$E$2:$E$13,"Not Found"),"OK","Check Price")</f>
        <v>Check Price</v>
      </c>
    </row>
    <row r="816" spans="1:14" ht="15.5" hidden="1" thickTop="1" thickBot="1" x14ac:dyDescent="0.4">
      <c r="A816" s="36" t="str">
        <f t="shared" si="24"/>
        <v>ORD0815</v>
      </c>
      <c r="B816" s="34">
        <v>45771</v>
      </c>
      <c r="C816" s="38" t="s">
        <v>73</v>
      </c>
      <c r="D816" s="38" t="s">
        <v>17</v>
      </c>
      <c r="E816" s="38" t="s">
        <v>29</v>
      </c>
      <c r="F816" s="38" t="s">
        <v>31</v>
      </c>
      <c r="G816" s="38" t="s">
        <v>19</v>
      </c>
      <c r="H816" s="38">
        <v>1</v>
      </c>
      <c r="I816" s="38">
        <v>2500</v>
      </c>
      <c r="J816" s="38">
        <v>0.1</v>
      </c>
      <c r="K816" s="38">
        <f t="shared" si="25"/>
        <v>2250</v>
      </c>
      <c r="L816" s="38" t="s">
        <v>21</v>
      </c>
      <c r="M816" s="38" t="s">
        <v>38</v>
      </c>
      <c r="N816" s="4" t="str">
        <f>IF(I816=_xlfn.XLOOKUP(F816,Lists!$D$2:$D$13,Lists!$E$2:$E$13,"Not Found"),"OK","Check Price")</f>
        <v>Check Price</v>
      </c>
    </row>
    <row r="817" spans="1:14" ht="15.5" hidden="1" thickTop="1" thickBot="1" x14ac:dyDescent="0.4">
      <c r="A817" s="36" t="str">
        <f t="shared" si="24"/>
        <v>ORD0816</v>
      </c>
      <c r="B817" s="34">
        <v>45872</v>
      </c>
      <c r="C817" s="37" t="s">
        <v>69</v>
      </c>
      <c r="D817" s="37" t="s">
        <v>42</v>
      </c>
      <c r="E817" s="37" t="s">
        <v>79</v>
      </c>
      <c r="F817" s="37" t="s">
        <v>52</v>
      </c>
      <c r="G817" s="37" t="s">
        <v>24</v>
      </c>
      <c r="H817" s="37">
        <v>8</v>
      </c>
      <c r="I817" s="37">
        <v>350</v>
      </c>
      <c r="J817" s="37">
        <v>0.05</v>
      </c>
      <c r="K817" s="37">
        <f t="shared" si="25"/>
        <v>2660</v>
      </c>
      <c r="L817" s="37" t="s">
        <v>53</v>
      </c>
      <c r="M817" s="37" t="s">
        <v>38</v>
      </c>
      <c r="N817" s="4" t="str">
        <f>IF(I817=_xlfn.XLOOKUP(F817,Lists!$D$2:$D$13,Lists!$E$2:$E$13,"Not Found"),"OK","Check Price")</f>
        <v>Check Price</v>
      </c>
    </row>
    <row r="818" spans="1:14" ht="15.5" hidden="1" thickTop="1" thickBot="1" x14ac:dyDescent="0.4">
      <c r="A818" s="36" t="str">
        <f t="shared" si="24"/>
        <v>ORD0817</v>
      </c>
      <c r="B818" s="34">
        <v>45555</v>
      </c>
      <c r="C818" s="38" t="s">
        <v>76</v>
      </c>
      <c r="D818" s="38" t="s">
        <v>17</v>
      </c>
      <c r="E818" s="38" t="s">
        <v>79</v>
      </c>
      <c r="F818" s="38" t="s">
        <v>43</v>
      </c>
      <c r="G818" s="38" t="s">
        <v>19</v>
      </c>
      <c r="H818" s="38">
        <v>8</v>
      </c>
      <c r="I818" s="38">
        <v>12000</v>
      </c>
      <c r="J818" s="38">
        <v>0.25</v>
      </c>
      <c r="K818" s="38">
        <f t="shared" si="25"/>
        <v>72000</v>
      </c>
      <c r="L818" s="38" t="s">
        <v>26</v>
      </c>
      <c r="M818" s="38" t="s">
        <v>33</v>
      </c>
      <c r="N818" s="4" t="str">
        <f>IF(I818=_xlfn.XLOOKUP(F818,Lists!$D$2:$D$13,Lists!$E$2:$E$13,"Not Found"),"OK","Check Price")</f>
        <v>OK</v>
      </c>
    </row>
    <row r="819" spans="1:14" ht="15.5" hidden="1" thickTop="1" thickBot="1" x14ac:dyDescent="0.4">
      <c r="A819" s="36" t="str">
        <f t="shared" si="24"/>
        <v>ORD0818</v>
      </c>
      <c r="B819" s="34">
        <v>45952</v>
      </c>
      <c r="C819" s="37" t="s">
        <v>64</v>
      </c>
      <c r="D819" s="37" t="s">
        <v>34</v>
      </c>
      <c r="E819" s="37" t="s">
        <v>79</v>
      </c>
      <c r="F819" s="37" t="s">
        <v>40</v>
      </c>
      <c r="G819" s="37" t="s">
        <v>19</v>
      </c>
      <c r="H819" s="37">
        <v>2</v>
      </c>
      <c r="I819" s="37">
        <v>28000</v>
      </c>
      <c r="J819" s="37">
        <v>0.1</v>
      </c>
      <c r="K819" s="37">
        <f t="shared" si="25"/>
        <v>50400</v>
      </c>
      <c r="L819" s="37" t="s">
        <v>26</v>
      </c>
      <c r="M819" s="37" t="s">
        <v>27</v>
      </c>
      <c r="N819" s="4" t="str">
        <f>IF(I819=_xlfn.XLOOKUP(F819,Lists!$D$2:$D$13,Lists!$E$2:$E$13,"Not Found"),"OK","Check Price")</f>
        <v>OK</v>
      </c>
    </row>
    <row r="820" spans="1:14" ht="15.5" hidden="1" thickTop="1" thickBot="1" x14ac:dyDescent="0.4">
      <c r="A820" s="36" t="str">
        <f t="shared" si="24"/>
        <v>ORD0819</v>
      </c>
      <c r="B820" s="34">
        <v>45530</v>
      </c>
      <c r="C820" s="38" t="s">
        <v>78</v>
      </c>
      <c r="D820" s="38" t="s">
        <v>54</v>
      </c>
      <c r="E820" s="38" t="s">
        <v>119</v>
      </c>
      <c r="F820" s="38" t="s">
        <v>49</v>
      </c>
      <c r="G820" s="38" t="s">
        <v>19</v>
      </c>
      <c r="H820" s="38">
        <v>2</v>
      </c>
      <c r="I820" s="38">
        <v>5000</v>
      </c>
      <c r="J820" s="38">
        <v>0.1</v>
      </c>
      <c r="K820" s="38">
        <f t="shared" si="25"/>
        <v>9000</v>
      </c>
      <c r="L820" s="38" t="s">
        <v>53</v>
      </c>
      <c r="M820" s="38" t="s">
        <v>38</v>
      </c>
      <c r="N820" s="4" t="str">
        <f>IF(I820=_xlfn.XLOOKUP(F820,Lists!$D$2:$D$13,Lists!$E$2:$E$13,"Not Found"),"OK","Check Price")</f>
        <v>Check Price</v>
      </c>
    </row>
    <row r="821" spans="1:14" ht="15.5" thickTop="1" thickBot="1" x14ac:dyDescent="0.4">
      <c r="A821" s="36" t="str">
        <f t="shared" si="24"/>
        <v>ORD0820</v>
      </c>
      <c r="B821" s="34">
        <v>45415</v>
      </c>
      <c r="C821" s="37" t="s">
        <v>69</v>
      </c>
      <c r="D821" s="37" t="s">
        <v>42</v>
      </c>
      <c r="E821" s="37" t="s">
        <v>18</v>
      </c>
      <c r="F821" s="37" t="s">
        <v>46</v>
      </c>
      <c r="G821" s="35" t="str">
        <f>_xlfn.XLOOKUP(F821,Lists!$J$2:$J$13,Lists!$K$2:$K$13,"Not Found")</f>
        <v>Furniture</v>
      </c>
      <c r="H821" s="37">
        <v>10</v>
      </c>
      <c r="I821" s="35">
        <f>_xlfn.XLOOKUP(F821,Lists!$D$2:$D$13,Lists!$E$2:$E$13,"Not Found")</f>
        <v>22000</v>
      </c>
      <c r="J821" s="47">
        <v>0.15</v>
      </c>
      <c r="K821" s="35">
        <f>H821*I821*(1-J821)</f>
        <v>187000</v>
      </c>
      <c r="L821" s="37" t="s">
        <v>56</v>
      </c>
      <c r="M821" s="37" t="s">
        <v>33</v>
      </c>
      <c r="N821" s="4" t="str">
        <f>IF(I821=_xlfn.XLOOKUP(F821,Lists!$D$2:$D$13,Lists!$E$2:$E$13,"Not Found"),"OK","Check Price")</f>
        <v>OK</v>
      </c>
    </row>
    <row r="822" spans="1:14" ht="15.5" hidden="1" thickTop="1" thickBot="1" x14ac:dyDescent="0.4">
      <c r="A822" s="36" t="str">
        <f t="shared" si="24"/>
        <v>ORD0821</v>
      </c>
      <c r="B822" s="34">
        <v>45965</v>
      </c>
      <c r="C822" s="38" t="s">
        <v>73</v>
      </c>
      <c r="D822" s="38" t="s">
        <v>39</v>
      </c>
      <c r="E822" s="38" t="s">
        <v>18</v>
      </c>
      <c r="F822" s="38" t="s">
        <v>25</v>
      </c>
      <c r="G822" s="38" t="s">
        <v>24</v>
      </c>
      <c r="H822" s="38">
        <v>1</v>
      </c>
      <c r="I822" s="38">
        <v>5000</v>
      </c>
      <c r="J822" s="38">
        <v>0.25</v>
      </c>
      <c r="K822" s="38">
        <f t="shared" si="25"/>
        <v>3750</v>
      </c>
      <c r="L822" s="38" t="s">
        <v>41</v>
      </c>
      <c r="M822" s="38" t="s">
        <v>38</v>
      </c>
      <c r="N822" s="4" t="str">
        <f>IF(I822=_xlfn.XLOOKUP(F822,Lists!$D$2:$D$13,Lists!$E$2:$E$13,"Not Found"),"OK","Check Price")</f>
        <v>Check Price</v>
      </c>
    </row>
    <row r="823" spans="1:14" ht="15.5" hidden="1" thickTop="1" thickBot="1" x14ac:dyDescent="0.4">
      <c r="A823" s="36" t="str">
        <f t="shared" si="24"/>
        <v>ORD0822</v>
      </c>
      <c r="B823" s="34">
        <v>45930</v>
      </c>
      <c r="C823" s="37" t="s">
        <v>71</v>
      </c>
      <c r="D823" s="37" t="s">
        <v>28</v>
      </c>
      <c r="E823" s="37" t="s">
        <v>80</v>
      </c>
      <c r="F823" s="37" t="s">
        <v>40</v>
      </c>
      <c r="G823" s="37" t="s">
        <v>19</v>
      </c>
      <c r="H823" s="37">
        <v>4</v>
      </c>
      <c r="I823" s="37">
        <v>4000</v>
      </c>
      <c r="J823" s="37">
        <v>0.25</v>
      </c>
      <c r="K823" s="37">
        <f t="shared" si="25"/>
        <v>12000</v>
      </c>
      <c r="L823" s="37" t="s">
        <v>44</v>
      </c>
      <c r="M823" s="37" t="s">
        <v>33</v>
      </c>
      <c r="N823" s="4" t="str">
        <f>IF(I823=_xlfn.XLOOKUP(F823,Lists!$D$2:$D$13,Lists!$E$2:$E$13,"Not Found"),"OK","Check Price")</f>
        <v>Check Price</v>
      </c>
    </row>
    <row r="824" spans="1:14" ht="15.5" thickTop="1" thickBot="1" x14ac:dyDescent="0.4">
      <c r="A824" s="36" t="str">
        <f t="shared" si="24"/>
        <v>ORD0823</v>
      </c>
      <c r="B824" s="34">
        <v>45475</v>
      </c>
      <c r="C824" s="38" t="s">
        <v>68</v>
      </c>
      <c r="D824" s="38" t="s">
        <v>42</v>
      </c>
      <c r="E824" s="38" t="s">
        <v>18</v>
      </c>
      <c r="F824" s="38" t="s">
        <v>46</v>
      </c>
      <c r="G824" s="35" t="str">
        <f>_xlfn.XLOOKUP(F824,Lists!$J$2:$J$13,Lists!$K$2:$K$13,"Not Found")</f>
        <v>Furniture</v>
      </c>
      <c r="H824" s="38">
        <v>6</v>
      </c>
      <c r="I824" s="35">
        <f>_xlfn.XLOOKUP(F824,Lists!$D$2:$D$13,Lists!$E$2:$E$13,"Not Found")</f>
        <v>22000</v>
      </c>
      <c r="J824" s="48">
        <v>0.25</v>
      </c>
      <c r="K824" s="35">
        <f>H824*I824*(1-J824)</f>
        <v>99000</v>
      </c>
      <c r="L824" s="38" t="s">
        <v>50</v>
      </c>
      <c r="M824" s="38" t="s">
        <v>27</v>
      </c>
      <c r="N824" s="4" t="str">
        <f>IF(I824=_xlfn.XLOOKUP(F824,Lists!$D$2:$D$13,Lists!$E$2:$E$13,"Not Found"),"OK","Check Price")</f>
        <v>OK</v>
      </c>
    </row>
    <row r="825" spans="1:14" ht="15.5" hidden="1" thickTop="1" thickBot="1" x14ac:dyDescent="0.4">
      <c r="A825" s="36" t="str">
        <f t="shared" si="24"/>
        <v>ORD0824</v>
      </c>
      <c r="B825" s="34">
        <v>45605</v>
      </c>
      <c r="C825" s="37" t="s">
        <v>71</v>
      </c>
      <c r="D825" s="37" t="s">
        <v>54</v>
      </c>
      <c r="E825" s="37" t="s">
        <v>79</v>
      </c>
      <c r="F825" s="37" t="s">
        <v>31</v>
      </c>
      <c r="G825" s="37" t="s">
        <v>24</v>
      </c>
      <c r="H825" s="37">
        <v>8</v>
      </c>
      <c r="I825" s="37">
        <v>12000</v>
      </c>
      <c r="J825" s="37">
        <v>0.05</v>
      </c>
      <c r="K825" s="37">
        <f t="shared" si="25"/>
        <v>91200</v>
      </c>
      <c r="L825" s="37" t="s">
        <v>37</v>
      </c>
      <c r="M825" s="37" t="s">
        <v>27</v>
      </c>
      <c r="N825" s="4" t="str">
        <f>IF(I825=_xlfn.XLOOKUP(F825,Lists!$D$2:$D$13,Lists!$E$2:$E$13,"Not Found"),"OK","Check Price")</f>
        <v>Check Price</v>
      </c>
    </row>
    <row r="826" spans="1:14" ht="15.5" hidden="1" thickTop="1" thickBot="1" x14ac:dyDescent="0.4">
      <c r="A826" s="36" t="str">
        <f t="shared" si="24"/>
        <v>ORD0825</v>
      </c>
      <c r="B826" s="34">
        <v>45549</v>
      </c>
      <c r="C826" s="38" t="s">
        <v>71</v>
      </c>
      <c r="D826" s="38" t="s">
        <v>48</v>
      </c>
      <c r="E826" s="38" t="s">
        <v>80</v>
      </c>
      <c r="F826" s="38" t="s">
        <v>43</v>
      </c>
      <c r="G826" s="38" t="s">
        <v>19</v>
      </c>
      <c r="H826" s="38">
        <v>6</v>
      </c>
      <c r="I826" s="38">
        <v>4000</v>
      </c>
      <c r="J826" s="38">
        <v>0.1</v>
      </c>
      <c r="K826" s="38">
        <f t="shared" si="25"/>
        <v>21600</v>
      </c>
      <c r="L826" s="38" t="s">
        <v>26</v>
      </c>
      <c r="M826" s="38" t="s">
        <v>33</v>
      </c>
      <c r="N826" s="4" t="str">
        <f>IF(I826=_xlfn.XLOOKUP(F826,Lists!$D$2:$D$13,Lists!$E$2:$E$13,"Not Found"),"OK","Check Price")</f>
        <v>Check Price</v>
      </c>
    </row>
    <row r="827" spans="1:14" ht="15.5" thickTop="1" thickBot="1" x14ac:dyDescent="0.4">
      <c r="A827" s="36" t="str">
        <f t="shared" si="24"/>
        <v>ORD0826</v>
      </c>
      <c r="B827" s="34">
        <v>45633</v>
      </c>
      <c r="C827" s="37" t="s">
        <v>59</v>
      </c>
      <c r="D827" s="37" t="s">
        <v>17</v>
      </c>
      <c r="E827" s="37" t="s">
        <v>80</v>
      </c>
      <c r="F827" s="37" t="s">
        <v>55</v>
      </c>
      <c r="G827" s="35" t="str">
        <f>_xlfn.XLOOKUP(F827,Lists!$J$2:$J$13,Lists!$K$2:$K$13,"Not Found")</f>
        <v>Office Supplies</v>
      </c>
      <c r="H827" s="37">
        <v>9</v>
      </c>
      <c r="I827" s="35">
        <f>_xlfn.XLOOKUP(F827,Lists!$D$2:$D$13,Lists!$E$2:$E$13,"Not Found")</f>
        <v>1500</v>
      </c>
      <c r="J827" s="47">
        <v>0.05</v>
      </c>
      <c r="K827" s="35">
        <f>H827*I827*(1-J827)</f>
        <v>12825</v>
      </c>
      <c r="L827" s="37" t="s">
        <v>50</v>
      </c>
      <c r="M827" s="37" t="s">
        <v>33</v>
      </c>
      <c r="N827" s="4" t="str">
        <f>IF(I827=_xlfn.XLOOKUP(F827,Lists!$D$2:$D$13,Lists!$E$2:$E$13,"Not Found"),"OK","Check Price")</f>
        <v>OK</v>
      </c>
    </row>
    <row r="828" spans="1:14" ht="15.5" hidden="1" thickTop="1" thickBot="1" x14ac:dyDescent="0.4">
      <c r="A828" s="36" t="str">
        <f t="shared" si="24"/>
        <v>ORD0827</v>
      </c>
      <c r="B828" s="34">
        <v>45882</v>
      </c>
      <c r="C828" s="38" t="s">
        <v>64</v>
      </c>
      <c r="D828" s="38" t="s">
        <v>51</v>
      </c>
      <c r="E828" s="38" t="s">
        <v>29</v>
      </c>
      <c r="F828" s="38" t="s">
        <v>31</v>
      </c>
      <c r="G828" s="38" t="s">
        <v>24</v>
      </c>
      <c r="H828" s="38">
        <v>7</v>
      </c>
      <c r="I828" s="38">
        <v>12000</v>
      </c>
      <c r="J828" s="38">
        <v>0.25</v>
      </c>
      <c r="K828" s="38">
        <f t="shared" si="25"/>
        <v>63000</v>
      </c>
      <c r="L828" s="38" t="s">
        <v>32</v>
      </c>
      <c r="M828" s="38" t="s">
        <v>33</v>
      </c>
      <c r="N828" s="4" t="str">
        <f>IF(I828=_xlfn.XLOOKUP(F828,Lists!$D$2:$D$13,Lists!$E$2:$E$13,"Not Found"),"OK","Check Price")</f>
        <v>Check Price</v>
      </c>
    </row>
    <row r="829" spans="1:14" ht="15.5" hidden="1" thickTop="1" thickBot="1" x14ac:dyDescent="0.4">
      <c r="A829" s="36" t="str">
        <f t="shared" si="24"/>
        <v>ORD0828</v>
      </c>
      <c r="B829" s="34">
        <v>45531</v>
      </c>
      <c r="C829" s="37" t="s">
        <v>73</v>
      </c>
      <c r="D829" s="37" t="s">
        <v>28</v>
      </c>
      <c r="E829" s="37" t="s">
        <v>79</v>
      </c>
      <c r="F829" s="37" t="s">
        <v>43</v>
      </c>
      <c r="G829" s="37" t="s">
        <v>30</v>
      </c>
      <c r="H829" s="37">
        <v>2</v>
      </c>
      <c r="I829" s="37">
        <v>28000</v>
      </c>
      <c r="J829" s="37">
        <v>0.05</v>
      </c>
      <c r="K829" s="37">
        <f t="shared" si="25"/>
        <v>53200</v>
      </c>
      <c r="L829" s="37" t="s">
        <v>44</v>
      </c>
      <c r="M829" s="37" t="s">
        <v>27</v>
      </c>
      <c r="N829" s="4" t="str">
        <f>IF(I829=_xlfn.XLOOKUP(F829,Lists!$D$2:$D$13,Lists!$E$2:$E$13,"Not Found"),"OK","Check Price")</f>
        <v>Check Price</v>
      </c>
    </row>
    <row r="830" spans="1:14" ht="15.5" hidden="1" thickTop="1" thickBot="1" x14ac:dyDescent="0.4">
      <c r="A830" s="36" t="str">
        <f t="shared" si="24"/>
        <v>ORD0829</v>
      </c>
      <c r="B830" s="34">
        <v>45304</v>
      </c>
      <c r="C830" s="38" t="s">
        <v>66</v>
      </c>
      <c r="D830" s="38" t="s">
        <v>45</v>
      </c>
      <c r="E830" s="38" t="s">
        <v>79</v>
      </c>
      <c r="F830" s="38" t="s">
        <v>25</v>
      </c>
      <c r="G830" s="38" t="s">
        <v>24</v>
      </c>
      <c r="H830" s="38">
        <v>10</v>
      </c>
      <c r="I830" s="38">
        <v>12000</v>
      </c>
      <c r="J830" s="38">
        <v>0.05</v>
      </c>
      <c r="K830" s="38">
        <f t="shared" si="25"/>
        <v>114000</v>
      </c>
      <c r="L830" s="38" t="s">
        <v>44</v>
      </c>
      <c r="M830" s="38" t="s">
        <v>33</v>
      </c>
      <c r="N830" s="4" t="str">
        <f>IF(I830=_xlfn.XLOOKUP(F830,Lists!$D$2:$D$13,Lists!$E$2:$E$13,"Not Found"),"OK","Check Price")</f>
        <v>Check Price</v>
      </c>
    </row>
    <row r="831" spans="1:14" ht="15.5" hidden="1" thickTop="1" thickBot="1" x14ac:dyDescent="0.4">
      <c r="A831" s="36" t="str">
        <f t="shared" si="24"/>
        <v>ORD0830</v>
      </c>
      <c r="B831" s="34">
        <v>45312</v>
      </c>
      <c r="C831" s="37" t="s">
        <v>67</v>
      </c>
      <c r="D831" s="37" t="s">
        <v>48</v>
      </c>
      <c r="E831" s="37" t="s">
        <v>29</v>
      </c>
      <c r="F831" s="37" t="s">
        <v>58</v>
      </c>
      <c r="G831" s="37" t="s">
        <v>24</v>
      </c>
      <c r="H831" s="37">
        <v>5</v>
      </c>
      <c r="I831" s="37">
        <v>85000</v>
      </c>
      <c r="J831" s="37">
        <v>0.2</v>
      </c>
      <c r="K831" s="37">
        <f t="shared" si="25"/>
        <v>340000</v>
      </c>
      <c r="L831" s="37" t="s">
        <v>26</v>
      </c>
      <c r="M831" s="37" t="s">
        <v>33</v>
      </c>
      <c r="N831" s="4" t="str">
        <f>IF(I831=_xlfn.XLOOKUP(F831,Lists!$D$2:$D$13,Lists!$E$2:$E$13,"Not Found"),"OK","Check Price")</f>
        <v>Check Price</v>
      </c>
    </row>
    <row r="832" spans="1:14" ht="15.5" hidden="1" thickTop="1" thickBot="1" x14ac:dyDescent="0.4">
      <c r="A832" s="36" t="str">
        <f t="shared" si="24"/>
        <v>ORD0831</v>
      </c>
      <c r="B832" s="34">
        <v>45871</v>
      </c>
      <c r="C832" s="38" t="s">
        <v>75</v>
      </c>
      <c r="D832" s="38" t="s">
        <v>54</v>
      </c>
      <c r="E832" s="38" t="s">
        <v>80</v>
      </c>
      <c r="F832" s="38" t="s">
        <v>49</v>
      </c>
      <c r="G832" s="38" t="s">
        <v>30</v>
      </c>
      <c r="H832" s="38">
        <v>6</v>
      </c>
      <c r="I832" s="38">
        <v>85000</v>
      </c>
      <c r="J832" s="38">
        <v>0.2</v>
      </c>
      <c r="K832" s="38">
        <f t="shared" si="25"/>
        <v>408000</v>
      </c>
      <c r="L832" s="38" t="s">
        <v>47</v>
      </c>
      <c r="M832" s="38" t="s">
        <v>27</v>
      </c>
      <c r="N832" s="4" t="str">
        <f>IF(I832=_xlfn.XLOOKUP(F832,Lists!$D$2:$D$13,Lists!$E$2:$E$13,"Not Found"),"OK","Check Price")</f>
        <v>Check Price</v>
      </c>
    </row>
    <row r="833" spans="1:14" ht="15.5" thickTop="1" thickBot="1" x14ac:dyDescent="0.4">
      <c r="A833" s="36" t="str">
        <f t="shared" si="24"/>
        <v>ORD0832</v>
      </c>
      <c r="B833" s="34">
        <v>45639</v>
      </c>
      <c r="C833" s="37" t="s">
        <v>63</v>
      </c>
      <c r="D833" s="37" t="s">
        <v>42</v>
      </c>
      <c r="E833" s="37" t="s">
        <v>119</v>
      </c>
      <c r="F833" s="37" t="s">
        <v>46</v>
      </c>
      <c r="G833" s="35" t="str">
        <f>_xlfn.XLOOKUP(F833,Lists!$J$2:$J$13,Lists!$K$2:$K$13,"Not Found")</f>
        <v>Furniture</v>
      </c>
      <c r="H833" s="37">
        <v>5</v>
      </c>
      <c r="I833" s="35">
        <f>_xlfn.XLOOKUP(F833,Lists!$D$2:$D$13,Lists!$E$2:$E$13,"Not Found")</f>
        <v>22000</v>
      </c>
      <c r="J833" s="47">
        <v>0.1</v>
      </c>
      <c r="K833" s="35">
        <f>H833*I833*(1-J833)</f>
        <v>99000</v>
      </c>
      <c r="L833" s="37" t="s">
        <v>41</v>
      </c>
      <c r="M833" s="37" t="s">
        <v>22</v>
      </c>
      <c r="N833" s="4" t="str">
        <f>IF(I833=_xlfn.XLOOKUP(F833,Lists!$D$2:$D$13,Lists!$E$2:$E$13,"Not Found"),"OK","Check Price")</f>
        <v>OK</v>
      </c>
    </row>
    <row r="834" spans="1:14" ht="15.5" hidden="1" thickTop="1" thickBot="1" x14ac:dyDescent="0.4">
      <c r="A834" s="36" t="str">
        <f t="shared" si="24"/>
        <v>ORD0833</v>
      </c>
      <c r="B834" s="34">
        <v>45320</v>
      </c>
      <c r="C834" s="38" t="s">
        <v>74</v>
      </c>
      <c r="D834" s="38" t="s">
        <v>23</v>
      </c>
      <c r="E834" s="38" t="s">
        <v>35</v>
      </c>
      <c r="F834" s="38" t="s">
        <v>36</v>
      </c>
      <c r="G834" s="38" t="s">
        <v>24</v>
      </c>
      <c r="H834" s="38">
        <v>8</v>
      </c>
      <c r="I834" s="38">
        <v>4000</v>
      </c>
      <c r="J834" s="38">
        <v>0.05</v>
      </c>
      <c r="K834" s="38">
        <f t="shared" si="25"/>
        <v>30400</v>
      </c>
      <c r="L834" s="38" t="s">
        <v>56</v>
      </c>
      <c r="M834" s="38" t="s">
        <v>27</v>
      </c>
      <c r="N834" s="4" t="str">
        <f>IF(I834=_xlfn.XLOOKUP(F834,Lists!$D$2:$D$13,Lists!$E$2:$E$13,"Not Found"),"OK","Check Price")</f>
        <v>Check Price</v>
      </c>
    </row>
    <row r="835" spans="1:14" ht="15.5" hidden="1" thickTop="1" thickBot="1" x14ac:dyDescent="0.4">
      <c r="A835" s="36" t="str">
        <f t="shared" ref="A835:A898" si="26">"ORD"&amp;TEXT(ROW()-1,"0000")</f>
        <v>ORD0834</v>
      </c>
      <c r="B835" s="34">
        <v>45616</v>
      </c>
      <c r="C835" s="37" t="s">
        <v>63</v>
      </c>
      <c r="D835" s="37" t="s">
        <v>28</v>
      </c>
      <c r="E835" s="37" t="s">
        <v>119</v>
      </c>
      <c r="F835" s="37" t="s">
        <v>49</v>
      </c>
      <c r="G835" s="37" t="s">
        <v>30</v>
      </c>
      <c r="H835" s="37">
        <v>5</v>
      </c>
      <c r="I835" s="37">
        <v>2000</v>
      </c>
      <c r="J835" s="37">
        <v>0.05</v>
      </c>
      <c r="K835" s="37">
        <f t="shared" ref="K835:K897" si="27">H835*I835*(1-J835)</f>
        <v>9500</v>
      </c>
      <c r="L835" s="37" t="s">
        <v>41</v>
      </c>
      <c r="M835" s="37" t="s">
        <v>27</v>
      </c>
      <c r="N835" s="4" t="str">
        <f>IF(I835=_xlfn.XLOOKUP(F835,Lists!$D$2:$D$13,Lists!$E$2:$E$13,"Not Found"),"OK","Check Price")</f>
        <v>Check Price</v>
      </c>
    </row>
    <row r="836" spans="1:14" ht="15.5" hidden="1" thickTop="1" thickBot="1" x14ac:dyDescent="0.4">
      <c r="A836" s="36" t="str">
        <f t="shared" si="26"/>
        <v>ORD0835</v>
      </c>
      <c r="B836" s="34">
        <v>45630</v>
      </c>
      <c r="C836" s="38" t="s">
        <v>69</v>
      </c>
      <c r="D836" s="38" t="s">
        <v>42</v>
      </c>
      <c r="E836" s="38" t="s">
        <v>29</v>
      </c>
      <c r="F836" s="38" t="s">
        <v>40</v>
      </c>
      <c r="G836" s="38" t="s">
        <v>24</v>
      </c>
      <c r="H836" s="38">
        <v>2</v>
      </c>
      <c r="I836" s="38">
        <v>85000</v>
      </c>
      <c r="J836" s="38">
        <v>0.1</v>
      </c>
      <c r="K836" s="38">
        <f t="shared" si="27"/>
        <v>153000</v>
      </c>
      <c r="L836" s="38" t="s">
        <v>53</v>
      </c>
      <c r="M836" s="38" t="s">
        <v>33</v>
      </c>
      <c r="N836" s="4" t="str">
        <f>IF(I836=_xlfn.XLOOKUP(F836,Lists!$D$2:$D$13,Lists!$E$2:$E$13,"Not Found"),"OK","Check Price")</f>
        <v>Check Price</v>
      </c>
    </row>
    <row r="837" spans="1:14" ht="15.5" hidden="1" thickTop="1" thickBot="1" x14ac:dyDescent="0.4">
      <c r="A837" s="36" t="str">
        <f t="shared" si="26"/>
        <v>ORD0836</v>
      </c>
      <c r="B837" s="34">
        <v>45772</v>
      </c>
      <c r="C837" s="37" t="s">
        <v>71</v>
      </c>
      <c r="D837" s="37" t="s">
        <v>23</v>
      </c>
      <c r="E837" s="37" t="s">
        <v>18</v>
      </c>
      <c r="F837" s="37" t="s">
        <v>36</v>
      </c>
      <c r="G837" s="37" t="s">
        <v>24</v>
      </c>
      <c r="H837" s="37">
        <v>7</v>
      </c>
      <c r="I837" s="37">
        <v>85000</v>
      </c>
      <c r="J837" s="37">
        <v>0.1</v>
      </c>
      <c r="K837" s="37">
        <f t="shared" si="27"/>
        <v>535500</v>
      </c>
      <c r="L837" s="37" t="s">
        <v>37</v>
      </c>
      <c r="M837" s="37" t="s">
        <v>33</v>
      </c>
      <c r="N837" s="4" t="str">
        <f>IF(I837=_xlfn.XLOOKUP(F837,Lists!$D$2:$D$13,Lists!$E$2:$E$13,"Not Found"),"OK","Check Price")</f>
        <v>Check Price</v>
      </c>
    </row>
    <row r="838" spans="1:14" ht="15.5" hidden="1" thickTop="1" thickBot="1" x14ac:dyDescent="0.4">
      <c r="A838" s="36" t="str">
        <f t="shared" si="26"/>
        <v>ORD0837</v>
      </c>
      <c r="B838" s="34">
        <v>45314</v>
      </c>
      <c r="C838" s="38" t="s">
        <v>64</v>
      </c>
      <c r="D838" s="38" t="s">
        <v>42</v>
      </c>
      <c r="E838" s="38" t="s">
        <v>18</v>
      </c>
      <c r="F838" s="38" t="s">
        <v>57</v>
      </c>
      <c r="G838" s="38" t="s">
        <v>19</v>
      </c>
      <c r="H838" s="38">
        <v>3</v>
      </c>
      <c r="I838" s="38">
        <v>12000</v>
      </c>
      <c r="J838" s="38">
        <v>0.2</v>
      </c>
      <c r="K838" s="38">
        <f t="shared" si="27"/>
        <v>28800</v>
      </c>
      <c r="L838" s="38" t="s">
        <v>37</v>
      </c>
      <c r="M838" s="38" t="s">
        <v>38</v>
      </c>
      <c r="N838" s="4" t="str">
        <f>IF(I838=_xlfn.XLOOKUP(F838,Lists!$D$2:$D$13,Lists!$E$2:$E$13,"Not Found"),"OK","Check Price")</f>
        <v>Check Price</v>
      </c>
    </row>
    <row r="839" spans="1:14" ht="15.5" thickTop="1" thickBot="1" x14ac:dyDescent="0.4">
      <c r="A839" s="36" t="str">
        <f t="shared" si="26"/>
        <v>ORD0838</v>
      </c>
      <c r="B839" s="34">
        <v>45696</v>
      </c>
      <c r="C839" s="37" t="s">
        <v>68</v>
      </c>
      <c r="D839" s="37" t="s">
        <v>23</v>
      </c>
      <c r="E839" s="37" t="s">
        <v>29</v>
      </c>
      <c r="F839" s="37" t="s">
        <v>55</v>
      </c>
      <c r="G839" s="35" t="str">
        <f>_xlfn.XLOOKUP(F839,Lists!$J$2:$J$13,Lists!$K$2:$K$13,"Not Found")</f>
        <v>Office Supplies</v>
      </c>
      <c r="H839" s="37">
        <v>6</v>
      </c>
      <c r="I839" s="35">
        <f>_xlfn.XLOOKUP(F839,Lists!$D$2:$D$13,Lists!$E$2:$E$13,"Not Found")</f>
        <v>1500</v>
      </c>
      <c r="J839" s="47">
        <v>0.15</v>
      </c>
      <c r="K839" s="35">
        <f t="shared" si="27"/>
        <v>7650</v>
      </c>
      <c r="L839" s="37" t="s">
        <v>50</v>
      </c>
      <c r="M839" s="37" t="s">
        <v>38</v>
      </c>
      <c r="N839" s="4" t="str">
        <f>IF(I839=_xlfn.XLOOKUP(F839,Lists!$D$2:$D$13,Lists!$E$2:$E$13,"Not Found"),"OK","Check Price")</f>
        <v>OK</v>
      </c>
    </row>
    <row r="840" spans="1:14" ht="15.5" thickTop="1" thickBot="1" x14ac:dyDescent="0.4">
      <c r="A840" s="36" t="str">
        <f t="shared" si="26"/>
        <v>ORD0839</v>
      </c>
      <c r="B840" s="34">
        <v>45513</v>
      </c>
      <c r="C840" s="38" t="s">
        <v>76</v>
      </c>
      <c r="D840" s="38" t="s">
        <v>17</v>
      </c>
      <c r="E840" s="38" t="s">
        <v>119</v>
      </c>
      <c r="F840" s="38" t="s">
        <v>55</v>
      </c>
      <c r="G840" s="35" t="str">
        <f>_xlfn.XLOOKUP(F840,Lists!$J$2:$J$13,Lists!$K$2:$K$13,"Not Found")</f>
        <v>Office Supplies</v>
      </c>
      <c r="H840" s="38">
        <v>3</v>
      </c>
      <c r="I840" s="35">
        <f>_xlfn.XLOOKUP(F840,Lists!$D$2:$D$13,Lists!$E$2:$E$13,"Not Found")</f>
        <v>1500</v>
      </c>
      <c r="J840" s="48">
        <v>0.05</v>
      </c>
      <c r="K840" s="35">
        <f t="shared" si="27"/>
        <v>4275</v>
      </c>
      <c r="L840" s="38" t="s">
        <v>41</v>
      </c>
      <c r="M840" s="38" t="s">
        <v>38</v>
      </c>
      <c r="N840" s="4" t="str">
        <f>IF(I840=_xlfn.XLOOKUP(F840,Lists!$D$2:$D$13,Lists!$E$2:$E$13,"Not Found"),"OK","Check Price")</f>
        <v>OK</v>
      </c>
    </row>
    <row r="841" spans="1:14" ht="15.5" hidden="1" thickTop="1" thickBot="1" x14ac:dyDescent="0.4">
      <c r="A841" s="36" t="str">
        <f t="shared" si="26"/>
        <v>ORD0840</v>
      </c>
      <c r="B841" s="34">
        <v>45727</v>
      </c>
      <c r="C841" s="37" t="s">
        <v>65</v>
      </c>
      <c r="D841" s="37" t="s">
        <v>48</v>
      </c>
      <c r="E841" s="37" t="s">
        <v>79</v>
      </c>
      <c r="F841" s="37" t="s">
        <v>43</v>
      </c>
      <c r="G841" s="37" t="s">
        <v>24</v>
      </c>
      <c r="H841" s="37">
        <v>6</v>
      </c>
      <c r="I841" s="37">
        <v>85000</v>
      </c>
      <c r="J841" s="37">
        <v>0.15</v>
      </c>
      <c r="K841" s="37">
        <f t="shared" si="27"/>
        <v>433500</v>
      </c>
      <c r="L841" s="37" t="s">
        <v>41</v>
      </c>
      <c r="M841" s="37" t="s">
        <v>27</v>
      </c>
      <c r="N841" s="4" t="str">
        <f>IF(I841=_xlfn.XLOOKUP(F841,Lists!$D$2:$D$13,Lists!$E$2:$E$13,"Not Found"),"OK","Check Price")</f>
        <v>Check Price</v>
      </c>
    </row>
    <row r="842" spans="1:14" ht="15.5" hidden="1" thickTop="1" thickBot="1" x14ac:dyDescent="0.4">
      <c r="A842" s="36" t="str">
        <f t="shared" si="26"/>
        <v>ORD0841</v>
      </c>
      <c r="B842" s="34">
        <v>45861</v>
      </c>
      <c r="C842" s="38" t="s">
        <v>64</v>
      </c>
      <c r="D842" s="38" t="s">
        <v>28</v>
      </c>
      <c r="E842" s="38" t="s">
        <v>29</v>
      </c>
      <c r="F842" s="38" t="s">
        <v>49</v>
      </c>
      <c r="G842" s="38" t="s">
        <v>24</v>
      </c>
      <c r="H842" s="38">
        <v>10</v>
      </c>
      <c r="I842" s="38">
        <v>28000</v>
      </c>
      <c r="J842" s="38">
        <v>0.2</v>
      </c>
      <c r="K842" s="38">
        <f t="shared" si="27"/>
        <v>224000</v>
      </c>
      <c r="L842" s="38" t="s">
        <v>47</v>
      </c>
      <c r="M842" s="38" t="s">
        <v>33</v>
      </c>
      <c r="N842" s="4" t="str">
        <f>IF(I842=_xlfn.XLOOKUP(F842,Lists!$D$2:$D$13,Lists!$E$2:$E$13,"Not Found"),"OK","Check Price")</f>
        <v>Check Price</v>
      </c>
    </row>
    <row r="843" spans="1:14" ht="15.5" hidden="1" thickTop="1" thickBot="1" x14ac:dyDescent="0.4">
      <c r="A843" s="36" t="str">
        <f t="shared" si="26"/>
        <v>ORD0842</v>
      </c>
      <c r="B843" s="34">
        <v>45337</v>
      </c>
      <c r="C843" s="37" t="s">
        <v>66</v>
      </c>
      <c r="D843" s="37" t="s">
        <v>51</v>
      </c>
      <c r="E843" s="37" t="s">
        <v>119</v>
      </c>
      <c r="F843" s="37" t="s">
        <v>57</v>
      </c>
      <c r="G843" s="37" t="s">
        <v>24</v>
      </c>
      <c r="H843" s="37">
        <v>8</v>
      </c>
      <c r="I843" s="37">
        <v>2000</v>
      </c>
      <c r="J843" s="37">
        <v>0.15</v>
      </c>
      <c r="K843" s="37">
        <f t="shared" si="27"/>
        <v>13600</v>
      </c>
      <c r="L843" s="37" t="s">
        <v>26</v>
      </c>
      <c r="M843" s="37" t="s">
        <v>33</v>
      </c>
      <c r="N843" s="4" t="str">
        <f>IF(I843=_xlfn.XLOOKUP(F843,Lists!$D$2:$D$13,Lists!$E$2:$E$13,"Not Found"),"OK","Check Price")</f>
        <v>OK</v>
      </c>
    </row>
    <row r="844" spans="1:14" ht="15.5" thickTop="1" thickBot="1" x14ac:dyDescent="0.4">
      <c r="A844" s="36" t="str">
        <f t="shared" si="26"/>
        <v>ORD0843</v>
      </c>
      <c r="B844" s="34">
        <v>45956</v>
      </c>
      <c r="C844" s="38" t="s">
        <v>61</v>
      </c>
      <c r="D844" s="38" t="s">
        <v>51</v>
      </c>
      <c r="E844" s="38" t="s">
        <v>79</v>
      </c>
      <c r="F844" s="38" t="s">
        <v>55</v>
      </c>
      <c r="G844" s="35" t="str">
        <f>_xlfn.XLOOKUP(F844,Lists!$J$2:$J$13,Lists!$K$2:$K$13,"Not Found")</f>
        <v>Office Supplies</v>
      </c>
      <c r="H844" s="38">
        <v>6</v>
      </c>
      <c r="I844" s="35">
        <f>_xlfn.XLOOKUP(F844,Lists!$D$2:$D$13,Lists!$E$2:$E$13,"Not Found")</f>
        <v>1500</v>
      </c>
      <c r="J844" s="48">
        <v>0.05</v>
      </c>
      <c r="K844" s="35">
        <f>H844*I844*(1-J844)</f>
        <v>8550</v>
      </c>
      <c r="L844" s="38" t="s">
        <v>56</v>
      </c>
      <c r="M844" s="38" t="s">
        <v>22</v>
      </c>
      <c r="N844" s="4" t="str">
        <f>IF(I844=_xlfn.XLOOKUP(F844,Lists!$D$2:$D$13,Lists!$E$2:$E$13,"Not Found"),"OK","Check Price")</f>
        <v>OK</v>
      </c>
    </row>
    <row r="845" spans="1:14" ht="15.5" hidden="1" thickTop="1" thickBot="1" x14ac:dyDescent="0.4">
      <c r="A845" s="36" t="str">
        <f t="shared" si="26"/>
        <v>ORD0844</v>
      </c>
      <c r="B845" s="34">
        <v>45333</v>
      </c>
      <c r="C845" s="37" t="s">
        <v>78</v>
      </c>
      <c r="D845" s="37" t="s">
        <v>54</v>
      </c>
      <c r="E845" s="37" t="s">
        <v>18</v>
      </c>
      <c r="F845" s="37" t="s">
        <v>31</v>
      </c>
      <c r="G845" s="37" t="s">
        <v>24</v>
      </c>
      <c r="H845" s="37">
        <v>4</v>
      </c>
      <c r="I845" s="37">
        <v>1500</v>
      </c>
      <c r="J845" s="37">
        <v>0.15</v>
      </c>
      <c r="K845" s="37">
        <f t="shared" si="27"/>
        <v>5100</v>
      </c>
      <c r="L845" s="37" t="s">
        <v>41</v>
      </c>
      <c r="M845" s="37" t="s">
        <v>22</v>
      </c>
      <c r="N845" s="4" t="str">
        <f>IF(I845=_xlfn.XLOOKUP(F845,Lists!$D$2:$D$13,Lists!$E$2:$E$13,"Not Found"),"OK","Check Price")</f>
        <v>Check Price</v>
      </c>
    </row>
    <row r="846" spans="1:14" ht="15.5" hidden="1" thickTop="1" thickBot="1" x14ac:dyDescent="0.4">
      <c r="A846" s="36" t="str">
        <f t="shared" si="26"/>
        <v>ORD0845</v>
      </c>
      <c r="B846" s="34">
        <v>45763</v>
      </c>
      <c r="C846" s="38" t="s">
        <v>62</v>
      </c>
      <c r="D846" s="38" t="s">
        <v>42</v>
      </c>
      <c r="E846" s="38" t="s">
        <v>29</v>
      </c>
      <c r="F846" s="38" t="s">
        <v>58</v>
      </c>
      <c r="G846" s="38" t="s">
        <v>30</v>
      </c>
      <c r="H846" s="38">
        <v>9</v>
      </c>
      <c r="I846" s="38">
        <v>28000</v>
      </c>
      <c r="J846" s="38">
        <v>0.15</v>
      </c>
      <c r="K846" s="38">
        <f t="shared" si="27"/>
        <v>214200</v>
      </c>
      <c r="L846" s="38" t="s">
        <v>21</v>
      </c>
      <c r="M846" s="38" t="s">
        <v>27</v>
      </c>
      <c r="N846" s="4" t="str">
        <f>IF(I846=_xlfn.XLOOKUP(F846,Lists!$D$2:$D$13,Lists!$E$2:$E$13,"Not Found"),"OK","Check Price")</f>
        <v>Check Price</v>
      </c>
    </row>
    <row r="847" spans="1:14" ht="15.5" hidden="1" thickTop="1" thickBot="1" x14ac:dyDescent="0.4">
      <c r="A847" s="36" t="str">
        <f t="shared" si="26"/>
        <v>ORD0846</v>
      </c>
      <c r="B847" s="34">
        <v>45544</v>
      </c>
      <c r="C847" s="37" t="s">
        <v>76</v>
      </c>
      <c r="D847" s="37" t="s">
        <v>23</v>
      </c>
      <c r="E847" s="37" t="s">
        <v>80</v>
      </c>
      <c r="F847" s="37" t="s">
        <v>36</v>
      </c>
      <c r="G847" s="37" t="s">
        <v>30</v>
      </c>
      <c r="H847" s="37">
        <v>3</v>
      </c>
      <c r="I847" s="37">
        <v>1200</v>
      </c>
      <c r="J847" s="37">
        <v>0.25</v>
      </c>
      <c r="K847" s="37">
        <f t="shared" si="27"/>
        <v>2700</v>
      </c>
      <c r="L847" s="37" t="s">
        <v>44</v>
      </c>
      <c r="M847" s="37" t="s">
        <v>33</v>
      </c>
      <c r="N847" s="4" t="str">
        <f>IF(I847=_xlfn.XLOOKUP(F847,Lists!$D$2:$D$13,Lists!$E$2:$E$13,"Not Found"),"OK","Check Price")</f>
        <v>Check Price</v>
      </c>
    </row>
    <row r="848" spans="1:14" ht="15.5" hidden="1" thickTop="1" thickBot="1" x14ac:dyDescent="0.4">
      <c r="A848" s="36" t="str">
        <f t="shared" si="26"/>
        <v>ORD0847</v>
      </c>
      <c r="B848" s="34">
        <v>45800</v>
      </c>
      <c r="C848" s="38" t="s">
        <v>73</v>
      </c>
      <c r="D848" s="38" t="s">
        <v>28</v>
      </c>
      <c r="E848" s="38" t="s">
        <v>35</v>
      </c>
      <c r="F848" s="38" t="s">
        <v>43</v>
      </c>
      <c r="G848" s="38" t="s">
        <v>19</v>
      </c>
      <c r="H848" s="38">
        <v>10</v>
      </c>
      <c r="I848" s="38">
        <v>12000</v>
      </c>
      <c r="J848" s="38">
        <v>0.05</v>
      </c>
      <c r="K848" s="38">
        <f t="shared" si="27"/>
        <v>114000</v>
      </c>
      <c r="L848" s="38" t="s">
        <v>32</v>
      </c>
      <c r="M848" s="38" t="s">
        <v>33</v>
      </c>
      <c r="N848" s="4" t="str">
        <f>IF(I848=_xlfn.XLOOKUP(F848,Lists!$D$2:$D$13,Lists!$E$2:$E$13,"Not Found"),"OK","Check Price")</f>
        <v>OK</v>
      </c>
    </row>
    <row r="849" spans="1:14" ht="15.5" hidden="1" thickTop="1" thickBot="1" x14ac:dyDescent="0.4">
      <c r="A849" s="36" t="str">
        <f t="shared" si="26"/>
        <v>ORD0848</v>
      </c>
      <c r="B849" s="34">
        <v>45450</v>
      </c>
      <c r="C849" s="37" t="s">
        <v>75</v>
      </c>
      <c r="D849" s="37" t="s">
        <v>48</v>
      </c>
      <c r="E849" s="37" t="s">
        <v>119</v>
      </c>
      <c r="F849" s="37" t="s">
        <v>25</v>
      </c>
      <c r="G849" s="37" t="s">
        <v>19</v>
      </c>
      <c r="H849" s="37">
        <v>9</v>
      </c>
      <c r="I849" s="37">
        <v>85000</v>
      </c>
      <c r="J849" s="37">
        <v>0.25</v>
      </c>
      <c r="K849" s="37">
        <f t="shared" si="27"/>
        <v>573750</v>
      </c>
      <c r="L849" s="37" t="s">
        <v>44</v>
      </c>
      <c r="M849" s="37" t="s">
        <v>27</v>
      </c>
      <c r="N849" s="4" t="str">
        <f>IF(I849=_xlfn.XLOOKUP(F849,Lists!$D$2:$D$13,Lists!$E$2:$E$13,"Not Found"),"OK","Check Price")</f>
        <v>Check Price</v>
      </c>
    </row>
    <row r="850" spans="1:14" ht="15.5" thickTop="1" thickBot="1" x14ac:dyDescent="0.4">
      <c r="A850" s="36" t="str">
        <f t="shared" si="26"/>
        <v>ORD0849</v>
      </c>
      <c r="B850" s="34">
        <v>45448</v>
      </c>
      <c r="C850" s="38" t="s">
        <v>76</v>
      </c>
      <c r="D850" s="38" t="s">
        <v>28</v>
      </c>
      <c r="E850" s="38" t="s">
        <v>79</v>
      </c>
      <c r="F850" s="38" t="s">
        <v>20</v>
      </c>
      <c r="G850" s="35" t="str">
        <f>_xlfn.XLOOKUP(F850,Lists!$J$2:$J$13,Lists!$K$2:$K$13,"Not Found")</f>
        <v>Electronics</v>
      </c>
      <c r="H850" s="38">
        <v>10</v>
      </c>
      <c r="I850" s="35">
        <f>_xlfn.XLOOKUP(F850,Lists!$D$2:$D$13,Lists!$E$2:$E$13,"Not Found")</f>
        <v>85000</v>
      </c>
      <c r="J850" s="48">
        <v>0.2</v>
      </c>
      <c r="K850" s="35">
        <f t="shared" si="27"/>
        <v>680000</v>
      </c>
      <c r="L850" s="38" t="s">
        <v>41</v>
      </c>
      <c r="M850" s="38" t="s">
        <v>27</v>
      </c>
      <c r="N850" s="4" t="str">
        <f>IF(I850=_xlfn.XLOOKUP(F850,Lists!$D$2:$D$13,Lists!$E$2:$E$13,"Not Found"),"OK","Check Price")</f>
        <v>OK</v>
      </c>
    </row>
    <row r="851" spans="1:14" ht="15.5" thickTop="1" thickBot="1" x14ac:dyDescent="0.4">
      <c r="A851" s="36" t="str">
        <f t="shared" si="26"/>
        <v>ORD0850</v>
      </c>
      <c r="B851" s="34">
        <v>45660</v>
      </c>
      <c r="C851" s="37" t="s">
        <v>72</v>
      </c>
      <c r="D851" s="37" t="s">
        <v>17</v>
      </c>
      <c r="E851" s="37" t="s">
        <v>35</v>
      </c>
      <c r="F851" s="37" t="s">
        <v>46</v>
      </c>
      <c r="G851" s="35" t="str">
        <f>_xlfn.XLOOKUP(F851,Lists!$J$2:$J$13,Lists!$K$2:$K$13,"Not Found")</f>
        <v>Furniture</v>
      </c>
      <c r="H851" s="37">
        <v>6</v>
      </c>
      <c r="I851" s="35">
        <f>_xlfn.XLOOKUP(F851,Lists!$D$2:$D$13,Lists!$E$2:$E$13,"Not Found")</f>
        <v>22000</v>
      </c>
      <c r="J851" s="47">
        <v>0.2</v>
      </c>
      <c r="K851" s="35">
        <f t="shared" si="27"/>
        <v>105600</v>
      </c>
      <c r="L851" s="37" t="s">
        <v>44</v>
      </c>
      <c r="M851" s="37" t="s">
        <v>27</v>
      </c>
      <c r="N851" s="4" t="str">
        <f>IF(I851=_xlfn.XLOOKUP(F851,Lists!$D$2:$D$13,Lists!$E$2:$E$13,"Not Found"),"OK","Check Price")</f>
        <v>OK</v>
      </c>
    </row>
    <row r="852" spans="1:14" ht="15.5" hidden="1" thickTop="1" thickBot="1" x14ac:dyDescent="0.4">
      <c r="A852" s="36" t="str">
        <f t="shared" si="26"/>
        <v>ORD0851</v>
      </c>
      <c r="B852" s="34">
        <v>45909</v>
      </c>
      <c r="C852" s="38" t="s">
        <v>60</v>
      </c>
      <c r="D852" s="38" t="s">
        <v>51</v>
      </c>
      <c r="E852" s="38" t="s">
        <v>79</v>
      </c>
      <c r="F852" s="38" t="s">
        <v>57</v>
      </c>
      <c r="G852" s="38" t="s">
        <v>19</v>
      </c>
      <c r="H852" s="38">
        <v>7</v>
      </c>
      <c r="I852" s="38">
        <v>1500</v>
      </c>
      <c r="J852" s="38">
        <v>0.25</v>
      </c>
      <c r="K852" s="38">
        <f t="shared" si="27"/>
        <v>7875</v>
      </c>
      <c r="L852" s="38" t="s">
        <v>32</v>
      </c>
      <c r="M852" s="38" t="s">
        <v>27</v>
      </c>
      <c r="N852" s="4" t="str">
        <f>IF(I852=_xlfn.XLOOKUP(F852,Lists!$D$2:$D$13,Lists!$E$2:$E$13,"Not Found"),"OK","Check Price")</f>
        <v>Check Price</v>
      </c>
    </row>
    <row r="853" spans="1:14" ht="15.5" hidden="1" thickTop="1" thickBot="1" x14ac:dyDescent="0.4">
      <c r="A853" s="36" t="str">
        <f t="shared" si="26"/>
        <v>ORD0852</v>
      </c>
      <c r="B853" s="34">
        <v>45941</v>
      </c>
      <c r="C853" s="37" t="s">
        <v>72</v>
      </c>
      <c r="D853" s="37" t="s">
        <v>48</v>
      </c>
      <c r="E853" s="37" t="s">
        <v>29</v>
      </c>
      <c r="F853" s="37" t="s">
        <v>49</v>
      </c>
      <c r="G853" s="37" t="s">
        <v>30</v>
      </c>
      <c r="H853" s="37">
        <v>2</v>
      </c>
      <c r="I853" s="37">
        <v>12000</v>
      </c>
      <c r="J853" s="37">
        <v>0.25</v>
      </c>
      <c r="K853" s="37">
        <f t="shared" si="27"/>
        <v>18000</v>
      </c>
      <c r="L853" s="37" t="s">
        <v>41</v>
      </c>
      <c r="M853" s="37" t="s">
        <v>22</v>
      </c>
      <c r="N853" s="4" t="str">
        <f>IF(I853=_xlfn.XLOOKUP(F853,Lists!$D$2:$D$13,Lists!$E$2:$E$13,"Not Found"),"OK","Check Price")</f>
        <v>Check Price</v>
      </c>
    </row>
    <row r="854" spans="1:14" ht="15.5" thickTop="1" thickBot="1" x14ac:dyDescent="0.4">
      <c r="A854" s="36" t="str">
        <f t="shared" si="26"/>
        <v>ORD0853</v>
      </c>
      <c r="B854" s="34">
        <v>45637</v>
      </c>
      <c r="C854" s="38" t="s">
        <v>63</v>
      </c>
      <c r="D854" s="38" t="s">
        <v>54</v>
      </c>
      <c r="E854" s="38" t="s">
        <v>119</v>
      </c>
      <c r="F854" s="38" t="s">
        <v>55</v>
      </c>
      <c r="G854" s="35" t="str">
        <f>_xlfn.XLOOKUP(F854,Lists!$J$2:$J$13,Lists!$K$2:$K$13,"Not Found")</f>
        <v>Office Supplies</v>
      </c>
      <c r="H854" s="38">
        <v>7</v>
      </c>
      <c r="I854" s="35">
        <f>_xlfn.XLOOKUP(F854,Lists!$D$2:$D$13,Lists!$E$2:$E$13,"Not Found")</f>
        <v>1500</v>
      </c>
      <c r="J854" s="48">
        <v>0.15</v>
      </c>
      <c r="K854" s="35">
        <f>H854*I854*(1-J854)</f>
        <v>8925</v>
      </c>
      <c r="L854" s="38" t="s">
        <v>41</v>
      </c>
      <c r="M854" s="38" t="s">
        <v>38</v>
      </c>
      <c r="N854" s="4" t="str">
        <f>IF(I854=_xlfn.XLOOKUP(F854,Lists!$D$2:$D$13,Lists!$E$2:$E$13,"Not Found"),"OK","Check Price")</f>
        <v>OK</v>
      </c>
    </row>
    <row r="855" spans="1:14" ht="15.5" hidden="1" thickTop="1" thickBot="1" x14ac:dyDescent="0.4">
      <c r="A855" s="36" t="str">
        <f t="shared" si="26"/>
        <v>ORD0854</v>
      </c>
      <c r="B855" s="34">
        <v>45339</v>
      </c>
      <c r="C855" s="37" t="s">
        <v>78</v>
      </c>
      <c r="D855" s="37" t="s">
        <v>34</v>
      </c>
      <c r="E855" s="37" t="s">
        <v>80</v>
      </c>
      <c r="F855" s="37" t="s">
        <v>57</v>
      </c>
      <c r="G855" s="37" t="s">
        <v>24</v>
      </c>
      <c r="H855" s="37">
        <v>10</v>
      </c>
      <c r="I855" s="37">
        <v>85000</v>
      </c>
      <c r="J855" s="37">
        <v>0.1</v>
      </c>
      <c r="K855" s="37">
        <f t="shared" si="27"/>
        <v>765000</v>
      </c>
      <c r="L855" s="37" t="s">
        <v>44</v>
      </c>
      <c r="M855" s="37" t="s">
        <v>27</v>
      </c>
      <c r="N855" s="4" t="str">
        <f>IF(I855=_xlfn.XLOOKUP(F855,Lists!$D$2:$D$13,Lists!$E$2:$E$13,"Not Found"),"OK","Check Price")</f>
        <v>Check Price</v>
      </c>
    </row>
    <row r="856" spans="1:14" ht="15.5" thickTop="1" thickBot="1" x14ac:dyDescent="0.4">
      <c r="A856" s="36" t="str">
        <f t="shared" si="26"/>
        <v>ORD0855</v>
      </c>
      <c r="B856" s="34">
        <v>45966</v>
      </c>
      <c r="C856" s="38" t="s">
        <v>62</v>
      </c>
      <c r="D856" s="38" t="s">
        <v>51</v>
      </c>
      <c r="E856" s="38" t="s">
        <v>35</v>
      </c>
      <c r="F856" s="38" t="s">
        <v>46</v>
      </c>
      <c r="G856" s="35" t="str">
        <f>_xlfn.XLOOKUP(F856,Lists!$J$2:$J$13,Lists!$K$2:$K$13,"Not Found")</f>
        <v>Furniture</v>
      </c>
      <c r="H856" s="38">
        <v>9</v>
      </c>
      <c r="I856" s="35">
        <f>_xlfn.XLOOKUP(F856,Lists!$D$2:$D$13,Lists!$E$2:$E$13,"Not Found")</f>
        <v>22000</v>
      </c>
      <c r="J856" s="48">
        <v>0.15</v>
      </c>
      <c r="K856" s="35">
        <f>H856*I856*(1-J856)</f>
        <v>168300</v>
      </c>
      <c r="L856" s="38" t="s">
        <v>21</v>
      </c>
      <c r="M856" s="38" t="s">
        <v>38</v>
      </c>
      <c r="N856" s="4" t="str">
        <f>IF(I856=_xlfn.XLOOKUP(F856,Lists!$D$2:$D$13,Lists!$E$2:$E$13,"Not Found"),"OK","Check Price")</f>
        <v>OK</v>
      </c>
    </row>
    <row r="857" spans="1:14" ht="15.5" hidden="1" thickTop="1" thickBot="1" x14ac:dyDescent="0.4">
      <c r="A857" s="36" t="str">
        <f t="shared" si="26"/>
        <v>ORD0856</v>
      </c>
      <c r="B857" s="34">
        <v>45452</v>
      </c>
      <c r="C857" s="37" t="s">
        <v>60</v>
      </c>
      <c r="D857" s="37" t="s">
        <v>34</v>
      </c>
      <c r="E857" s="37" t="s">
        <v>119</v>
      </c>
      <c r="F857" s="37" t="s">
        <v>57</v>
      </c>
      <c r="G857" s="37" t="s">
        <v>19</v>
      </c>
      <c r="H857" s="37">
        <v>2</v>
      </c>
      <c r="I857" s="37">
        <v>350</v>
      </c>
      <c r="J857" s="37">
        <v>0.05</v>
      </c>
      <c r="K857" s="37">
        <f t="shared" si="27"/>
        <v>665</v>
      </c>
      <c r="L857" s="37" t="s">
        <v>41</v>
      </c>
      <c r="M857" s="37" t="s">
        <v>27</v>
      </c>
      <c r="N857" s="4" t="str">
        <f>IF(I857=_xlfn.XLOOKUP(F857,Lists!$D$2:$D$13,Lists!$E$2:$E$13,"Not Found"),"OK","Check Price")</f>
        <v>Check Price</v>
      </c>
    </row>
    <row r="858" spans="1:14" ht="15.5" hidden="1" thickTop="1" thickBot="1" x14ac:dyDescent="0.4">
      <c r="A858" s="36" t="str">
        <f t="shared" si="26"/>
        <v>ORD0857</v>
      </c>
      <c r="B858" s="34">
        <v>45522</v>
      </c>
      <c r="C858" s="38" t="s">
        <v>66</v>
      </c>
      <c r="D858" s="38" t="s">
        <v>39</v>
      </c>
      <c r="E858" s="38" t="s">
        <v>119</v>
      </c>
      <c r="F858" s="38" t="s">
        <v>40</v>
      </c>
      <c r="G858" s="38" t="s">
        <v>30</v>
      </c>
      <c r="H858" s="38">
        <v>9</v>
      </c>
      <c r="I858" s="38">
        <v>85000</v>
      </c>
      <c r="J858" s="38">
        <v>0.1</v>
      </c>
      <c r="K858" s="38">
        <f t="shared" si="27"/>
        <v>688500</v>
      </c>
      <c r="L858" s="38" t="s">
        <v>50</v>
      </c>
      <c r="M858" s="38" t="s">
        <v>33</v>
      </c>
      <c r="N858" s="4" t="str">
        <f>IF(I858=_xlfn.XLOOKUP(F858,Lists!$D$2:$D$13,Lists!$E$2:$E$13,"Not Found"),"OK","Check Price")</f>
        <v>Check Price</v>
      </c>
    </row>
    <row r="859" spans="1:14" ht="15.5" hidden="1" thickTop="1" thickBot="1" x14ac:dyDescent="0.4">
      <c r="A859" s="36" t="str">
        <f t="shared" si="26"/>
        <v>ORD0858</v>
      </c>
      <c r="B859" s="34">
        <v>45963</v>
      </c>
      <c r="C859" s="37" t="s">
        <v>69</v>
      </c>
      <c r="D859" s="37" t="s">
        <v>48</v>
      </c>
      <c r="E859" s="37" t="s">
        <v>35</v>
      </c>
      <c r="F859" s="37" t="s">
        <v>40</v>
      </c>
      <c r="G859" s="37" t="s">
        <v>24</v>
      </c>
      <c r="H859" s="37">
        <v>1</v>
      </c>
      <c r="I859" s="37">
        <v>85000</v>
      </c>
      <c r="J859" s="37">
        <v>0.1</v>
      </c>
      <c r="K859" s="37">
        <f t="shared" si="27"/>
        <v>76500</v>
      </c>
      <c r="L859" s="37" t="s">
        <v>44</v>
      </c>
      <c r="M859" s="37" t="s">
        <v>27</v>
      </c>
      <c r="N859" s="4" t="str">
        <f>IF(I859=_xlfn.XLOOKUP(F859,Lists!$D$2:$D$13,Lists!$E$2:$E$13,"Not Found"),"OK","Check Price")</f>
        <v>Check Price</v>
      </c>
    </row>
    <row r="860" spans="1:14" ht="15.5" hidden="1" thickTop="1" thickBot="1" x14ac:dyDescent="0.4">
      <c r="A860" s="36" t="str">
        <f t="shared" si="26"/>
        <v>ORD0859</v>
      </c>
      <c r="B860" s="34">
        <v>45293</v>
      </c>
      <c r="C860" s="38" t="s">
        <v>75</v>
      </c>
      <c r="D860" s="38" t="s">
        <v>23</v>
      </c>
      <c r="E860" s="38" t="s">
        <v>119</v>
      </c>
      <c r="F860" s="38" t="s">
        <v>49</v>
      </c>
      <c r="G860" s="38" t="s">
        <v>30</v>
      </c>
      <c r="H860" s="38">
        <v>4</v>
      </c>
      <c r="I860" s="38">
        <v>1200</v>
      </c>
      <c r="J860" s="38">
        <v>0.1</v>
      </c>
      <c r="K860" s="38">
        <f t="shared" si="27"/>
        <v>4320</v>
      </c>
      <c r="L860" s="38" t="s">
        <v>32</v>
      </c>
      <c r="M860" s="38" t="s">
        <v>33</v>
      </c>
      <c r="N860" s="4" t="str">
        <f>IF(I860=_xlfn.XLOOKUP(F860,Lists!$D$2:$D$13,Lists!$E$2:$E$13,"Not Found"),"OK","Check Price")</f>
        <v>Check Price</v>
      </c>
    </row>
    <row r="861" spans="1:14" ht="15.5" hidden="1" thickTop="1" thickBot="1" x14ac:dyDescent="0.4">
      <c r="A861" s="36" t="str">
        <f t="shared" si="26"/>
        <v>ORD0860</v>
      </c>
      <c r="B861" s="34">
        <v>46012</v>
      </c>
      <c r="C861" s="37" t="s">
        <v>63</v>
      </c>
      <c r="D861" s="37" t="s">
        <v>51</v>
      </c>
      <c r="E861" s="37" t="s">
        <v>29</v>
      </c>
      <c r="F861" s="37" t="s">
        <v>57</v>
      </c>
      <c r="G861" s="37" t="s">
        <v>24</v>
      </c>
      <c r="H861" s="37">
        <v>6</v>
      </c>
      <c r="I861" s="37">
        <v>2000</v>
      </c>
      <c r="J861" s="37">
        <v>0.1</v>
      </c>
      <c r="K861" s="37">
        <f t="shared" si="27"/>
        <v>10800</v>
      </c>
      <c r="L861" s="37" t="s">
        <v>53</v>
      </c>
      <c r="M861" s="37" t="s">
        <v>27</v>
      </c>
      <c r="N861" s="4" t="str">
        <f>IF(I861=_xlfn.XLOOKUP(F861,Lists!$D$2:$D$13,Lists!$E$2:$E$13,"Not Found"),"OK","Check Price")</f>
        <v>OK</v>
      </c>
    </row>
    <row r="862" spans="1:14" ht="15.5" hidden="1" thickTop="1" thickBot="1" x14ac:dyDescent="0.4">
      <c r="A862" s="36" t="str">
        <f t="shared" si="26"/>
        <v>ORD0861</v>
      </c>
      <c r="B862" s="34">
        <v>45866</v>
      </c>
      <c r="C862" s="38" t="s">
        <v>62</v>
      </c>
      <c r="D862" s="38" t="s">
        <v>48</v>
      </c>
      <c r="E862" s="38" t="s">
        <v>119</v>
      </c>
      <c r="F862" s="38" t="s">
        <v>43</v>
      </c>
      <c r="G862" s="38" t="s">
        <v>30</v>
      </c>
      <c r="H862" s="38">
        <v>2</v>
      </c>
      <c r="I862" s="38">
        <v>22000</v>
      </c>
      <c r="J862" s="38">
        <v>0.15</v>
      </c>
      <c r="K862" s="38">
        <f t="shared" si="27"/>
        <v>37400</v>
      </c>
      <c r="L862" s="38" t="s">
        <v>26</v>
      </c>
      <c r="M862" s="38" t="s">
        <v>38</v>
      </c>
      <c r="N862" s="4" t="str">
        <f>IF(I862=_xlfn.XLOOKUP(F862,Lists!$D$2:$D$13,Lists!$E$2:$E$13,"Not Found"),"OK","Check Price")</f>
        <v>Check Price</v>
      </c>
    </row>
    <row r="863" spans="1:14" ht="15.5" hidden="1" thickTop="1" thickBot="1" x14ac:dyDescent="0.4">
      <c r="A863" s="36" t="str">
        <f t="shared" si="26"/>
        <v>ORD0862</v>
      </c>
      <c r="B863" s="34">
        <v>45852</v>
      </c>
      <c r="C863" s="37" t="s">
        <v>76</v>
      </c>
      <c r="D863" s="37" t="s">
        <v>48</v>
      </c>
      <c r="E863" s="37" t="s">
        <v>79</v>
      </c>
      <c r="F863" s="37" t="s">
        <v>49</v>
      </c>
      <c r="G863" s="37" t="s">
        <v>19</v>
      </c>
      <c r="H863" s="37">
        <v>10</v>
      </c>
      <c r="I863" s="37">
        <v>1200</v>
      </c>
      <c r="J863" s="37">
        <v>0.25</v>
      </c>
      <c r="K863" s="37">
        <f t="shared" si="27"/>
        <v>9000</v>
      </c>
      <c r="L863" s="37" t="s">
        <v>41</v>
      </c>
      <c r="M863" s="37" t="s">
        <v>27</v>
      </c>
      <c r="N863" s="4" t="str">
        <f>IF(I863=_xlfn.XLOOKUP(F863,Lists!$D$2:$D$13,Lists!$E$2:$E$13,"Not Found"),"OK","Check Price")</f>
        <v>Check Price</v>
      </c>
    </row>
    <row r="864" spans="1:14" ht="15.5" hidden="1" thickTop="1" thickBot="1" x14ac:dyDescent="0.4">
      <c r="A864" s="36" t="str">
        <f t="shared" si="26"/>
        <v>ORD0863</v>
      </c>
      <c r="B864" s="34">
        <v>45503</v>
      </c>
      <c r="C864" s="38" t="s">
        <v>75</v>
      </c>
      <c r="D864" s="38" t="s">
        <v>45</v>
      </c>
      <c r="E864" s="38" t="s">
        <v>80</v>
      </c>
      <c r="F864" s="38" t="s">
        <v>49</v>
      </c>
      <c r="G864" s="38" t="s">
        <v>24</v>
      </c>
      <c r="H864" s="38">
        <v>5</v>
      </c>
      <c r="I864" s="38">
        <v>1200</v>
      </c>
      <c r="J864" s="38">
        <v>0.25</v>
      </c>
      <c r="K864" s="38">
        <f t="shared" si="27"/>
        <v>4500</v>
      </c>
      <c r="L864" s="38" t="s">
        <v>37</v>
      </c>
      <c r="M864" s="38" t="s">
        <v>33</v>
      </c>
      <c r="N864" s="4" t="str">
        <f>IF(I864=_xlfn.XLOOKUP(F864,Lists!$D$2:$D$13,Lists!$E$2:$E$13,"Not Found"),"OK","Check Price")</f>
        <v>Check Price</v>
      </c>
    </row>
    <row r="865" spans="1:14" ht="15.5" thickTop="1" thickBot="1" x14ac:dyDescent="0.4">
      <c r="A865" s="36" t="str">
        <f t="shared" si="26"/>
        <v>ORD0864</v>
      </c>
      <c r="B865" s="34">
        <v>45590</v>
      </c>
      <c r="C865" s="37" t="s">
        <v>72</v>
      </c>
      <c r="D865" s="37" t="s">
        <v>45</v>
      </c>
      <c r="E865" s="37" t="s">
        <v>29</v>
      </c>
      <c r="F865" s="37" t="s">
        <v>20</v>
      </c>
      <c r="G865" s="35" t="str">
        <f>_xlfn.XLOOKUP(F865,Lists!$J$2:$J$13,Lists!$K$2:$K$13,"Not Found")</f>
        <v>Electronics</v>
      </c>
      <c r="H865" s="37">
        <v>5</v>
      </c>
      <c r="I865" s="35">
        <f>_xlfn.XLOOKUP(F865,Lists!$D$2:$D$13,Lists!$E$2:$E$13,"Not Found")</f>
        <v>85000</v>
      </c>
      <c r="J865" s="47">
        <v>0.2</v>
      </c>
      <c r="K865" s="35">
        <f t="shared" si="27"/>
        <v>340000</v>
      </c>
      <c r="L865" s="37" t="s">
        <v>21</v>
      </c>
      <c r="M865" s="37" t="s">
        <v>33</v>
      </c>
      <c r="N865" s="4" t="str">
        <f>IF(I865=_xlfn.XLOOKUP(F865,Lists!$D$2:$D$13,Lists!$E$2:$E$13,"Not Found"),"OK","Check Price")</f>
        <v>OK</v>
      </c>
    </row>
    <row r="866" spans="1:14" ht="15.5" thickTop="1" thickBot="1" x14ac:dyDescent="0.4">
      <c r="A866" s="36" t="str">
        <f t="shared" si="26"/>
        <v>ORD0865</v>
      </c>
      <c r="B866" s="34">
        <v>45795</v>
      </c>
      <c r="C866" s="38" t="s">
        <v>76</v>
      </c>
      <c r="D866" s="38" t="s">
        <v>39</v>
      </c>
      <c r="E866" s="38" t="s">
        <v>119</v>
      </c>
      <c r="F866" s="38" t="s">
        <v>46</v>
      </c>
      <c r="G866" s="35" t="str">
        <f>_xlfn.XLOOKUP(F866,Lists!$J$2:$J$13,Lists!$K$2:$K$13,"Not Found")</f>
        <v>Furniture</v>
      </c>
      <c r="H866" s="38">
        <v>5</v>
      </c>
      <c r="I866" s="35">
        <f>_xlfn.XLOOKUP(F866,Lists!$D$2:$D$13,Lists!$E$2:$E$13,"Not Found")</f>
        <v>22000</v>
      </c>
      <c r="J866" s="48">
        <v>0.05</v>
      </c>
      <c r="K866" s="35">
        <f t="shared" si="27"/>
        <v>104500</v>
      </c>
      <c r="L866" s="38" t="s">
        <v>32</v>
      </c>
      <c r="M866" s="38" t="s">
        <v>38</v>
      </c>
      <c r="N866" s="4" t="str">
        <f>IF(I866=_xlfn.XLOOKUP(F866,Lists!$D$2:$D$13,Lists!$E$2:$E$13,"Not Found"),"OK","Check Price")</f>
        <v>OK</v>
      </c>
    </row>
    <row r="867" spans="1:14" ht="15.5" hidden="1" thickTop="1" thickBot="1" x14ac:dyDescent="0.4">
      <c r="A867" s="36" t="str">
        <f t="shared" si="26"/>
        <v>ORD0866</v>
      </c>
      <c r="B867" s="34">
        <v>45579</v>
      </c>
      <c r="C867" s="37" t="s">
        <v>64</v>
      </c>
      <c r="D867" s="37" t="s">
        <v>17</v>
      </c>
      <c r="E867" s="37" t="s">
        <v>35</v>
      </c>
      <c r="F867" s="37" t="s">
        <v>57</v>
      </c>
      <c r="G867" s="37" t="s">
        <v>24</v>
      </c>
      <c r="H867" s="37">
        <v>4</v>
      </c>
      <c r="I867" s="37">
        <v>5000</v>
      </c>
      <c r="J867" s="37">
        <v>0.15</v>
      </c>
      <c r="K867" s="37">
        <f t="shared" si="27"/>
        <v>17000</v>
      </c>
      <c r="L867" s="37" t="s">
        <v>53</v>
      </c>
      <c r="M867" s="37" t="s">
        <v>33</v>
      </c>
      <c r="N867" s="4" t="str">
        <f>IF(I867=_xlfn.XLOOKUP(F867,Lists!$D$2:$D$13,Lists!$E$2:$E$13,"Not Found"),"OK","Check Price")</f>
        <v>Check Price</v>
      </c>
    </row>
    <row r="868" spans="1:14" ht="15.5" hidden="1" thickTop="1" thickBot="1" x14ac:dyDescent="0.4">
      <c r="A868" s="36" t="str">
        <f t="shared" si="26"/>
        <v>ORD0867</v>
      </c>
      <c r="B868" s="34">
        <v>45795</v>
      </c>
      <c r="C868" s="38" t="s">
        <v>63</v>
      </c>
      <c r="D868" s="38" t="s">
        <v>34</v>
      </c>
      <c r="E868" s="38" t="s">
        <v>80</v>
      </c>
      <c r="F868" s="38" t="s">
        <v>58</v>
      </c>
      <c r="G868" s="38" t="s">
        <v>30</v>
      </c>
      <c r="H868" s="38">
        <v>8</v>
      </c>
      <c r="I868" s="38">
        <v>5000</v>
      </c>
      <c r="J868" s="38">
        <v>0.05</v>
      </c>
      <c r="K868" s="38">
        <f t="shared" si="27"/>
        <v>38000</v>
      </c>
      <c r="L868" s="38" t="s">
        <v>44</v>
      </c>
      <c r="M868" s="38" t="s">
        <v>38</v>
      </c>
      <c r="N868" s="4" t="str">
        <f>IF(I868=_xlfn.XLOOKUP(F868,Lists!$D$2:$D$13,Lists!$E$2:$E$13,"Not Found"),"OK","Check Price")</f>
        <v>OK</v>
      </c>
    </row>
    <row r="869" spans="1:14" ht="15.5" hidden="1" thickTop="1" thickBot="1" x14ac:dyDescent="0.4">
      <c r="A869" s="36" t="str">
        <f t="shared" si="26"/>
        <v>ORD0868</v>
      </c>
      <c r="B869" s="34">
        <v>45827</v>
      </c>
      <c r="C869" s="37" t="s">
        <v>76</v>
      </c>
      <c r="D869" s="37" t="s">
        <v>48</v>
      </c>
      <c r="E869" s="37" t="s">
        <v>18</v>
      </c>
      <c r="F869" s="37" t="s">
        <v>49</v>
      </c>
      <c r="G869" s="37" t="s">
        <v>24</v>
      </c>
      <c r="H869" s="37">
        <v>4</v>
      </c>
      <c r="I869" s="37">
        <v>1200</v>
      </c>
      <c r="J869" s="37">
        <v>0.2</v>
      </c>
      <c r="K869" s="37">
        <f t="shared" si="27"/>
        <v>3840</v>
      </c>
      <c r="L869" s="37" t="s">
        <v>56</v>
      </c>
      <c r="M869" s="37" t="s">
        <v>27</v>
      </c>
      <c r="N869" s="4" t="str">
        <f>IF(I869=_xlfn.XLOOKUP(F869,Lists!$D$2:$D$13,Lists!$E$2:$E$13,"Not Found"),"OK","Check Price")</f>
        <v>Check Price</v>
      </c>
    </row>
    <row r="870" spans="1:14" ht="15.5" thickTop="1" thickBot="1" x14ac:dyDescent="0.4">
      <c r="A870" s="36" t="str">
        <f t="shared" si="26"/>
        <v>ORD0869</v>
      </c>
      <c r="B870" s="34">
        <v>45821</v>
      </c>
      <c r="C870" s="38" t="s">
        <v>68</v>
      </c>
      <c r="D870" s="38" t="s">
        <v>34</v>
      </c>
      <c r="E870" s="38" t="s">
        <v>29</v>
      </c>
      <c r="F870" s="38" t="s">
        <v>55</v>
      </c>
      <c r="G870" s="35" t="str">
        <f>_xlfn.XLOOKUP(F870,Lists!$J$2:$J$13,Lists!$K$2:$K$13,"Not Found")</f>
        <v>Office Supplies</v>
      </c>
      <c r="H870" s="38">
        <v>2</v>
      </c>
      <c r="I870" s="35">
        <f>_xlfn.XLOOKUP(F870,Lists!$D$2:$D$13,Lists!$E$2:$E$13,"Not Found")</f>
        <v>1500</v>
      </c>
      <c r="J870" s="48">
        <v>0.1</v>
      </c>
      <c r="K870" s="35">
        <f>H870*I870*(1-J870)</f>
        <v>2700</v>
      </c>
      <c r="L870" s="38" t="s">
        <v>47</v>
      </c>
      <c r="M870" s="38" t="s">
        <v>22</v>
      </c>
      <c r="N870" s="4" t="str">
        <f>IF(I870=_xlfn.XLOOKUP(F870,Lists!$D$2:$D$13,Lists!$E$2:$E$13,"Not Found"),"OK","Check Price")</f>
        <v>OK</v>
      </c>
    </row>
    <row r="871" spans="1:14" ht="15.5" hidden="1" thickTop="1" thickBot="1" x14ac:dyDescent="0.4">
      <c r="A871" s="36" t="str">
        <f t="shared" si="26"/>
        <v>ORD0870</v>
      </c>
      <c r="B871" s="34">
        <v>46005</v>
      </c>
      <c r="C871" s="37" t="s">
        <v>69</v>
      </c>
      <c r="D871" s="37" t="s">
        <v>51</v>
      </c>
      <c r="E871" s="37" t="s">
        <v>80</v>
      </c>
      <c r="F871" s="37" t="s">
        <v>40</v>
      </c>
      <c r="G871" s="37" t="s">
        <v>30</v>
      </c>
      <c r="H871" s="37">
        <v>5</v>
      </c>
      <c r="I871" s="37">
        <v>12000</v>
      </c>
      <c r="J871" s="37">
        <v>0.05</v>
      </c>
      <c r="K871" s="37">
        <f t="shared" si="27"/>
        <v>57000</v>
      </c>
      <c r="L871" s="37" t="s">
        <v>56</v>
      </c>
      <c r="M871" s="37" t="s">
        <v>22</v>
      </c>
      <c r="N871" s="4" t="str">
        <f>IF(I871=_xlfn.XLOOKUP(F871,Lists!$D$2:$D$13,Lists!$E$2:$E$13,"Not Found"),"OK","Check Price")</f>
        <v>Check Price</v>
      </c>
    </row>
    <row r="872" spans="1:14" ht="15.5" hidden="1" thickTop="1" thickBot="1" x14ac:dyDescent="0.4">
      <c r="A872" s="36" t="str">
        <f t="shared" si="26"/>
        <v>ORD0871</v>
      </c>
      <c r="B872" s="34">
        <v>45868</v>
      </c>
      <c r="C872" s="38" t="s">
        <v>78</v>
      </c>
      <c r="D872" s="38" t="s">
        <v>45</v>
      </c>
      <c r="E872" s="38" t="s">
        <v>29</v>
      </c>
      <c r="F872" s="38" t="s">
        <v>25</v>
      </c>
      <c r="G872" s="38" t="s">
        <v>30</v>
      </c>
      <c r="H872" s="38">
        <v>5</v>
      </c>
      <c r="I872" s="38">
        <v>2000</v>
      </c>
      <c r="J872" s="38">
        <v>0.1</v>
      </c>
      <c r="K872" s="38">
        <f t="shared" si="27"/>
        <v>9000</v>
      </c>
      <c r="L872" s="38" t="s">
        <v>53</v>
      </c>
      <c r="M872" s="38" t="s">
        <v>38</v>
      </c>
      <c r="N872" s="4" t="str">
        <f>IF(I872=_xlfn.XLOOKUP(F872,Lists!$D$2:$D$13,Lists!$E$2:$E$13,"Not Found"),"OK","Check Price")</f>
        <v>Check Price</v>
      </c>
    </row>
    <row r="873" spans="1:14" ht="15.5" hidden="1" thickTop="1" thickBot="1" x14ac:dyDescent="0.4">
      <c r="A873" s="36" t="str">
        <f t="shared" si="26"/>
        <v>ORD0872</v>
      </c>
      <c r="B873" s="34">
        <v>45937</v>
      </c>
      <c r="C873" s="37" t="s">
        <v>62</v>
      </c>
      <c r="D873" s="37" t="s">
        <v>34</v>
      </c>
      <c r="E873" s="37" t="s">
        <v>79</v>
      </c>
      <c r="F873" s="37" t="s">
        <v>43</v>
      </c>
      <c r="G873" s="37" t="s">
        <v>19</v>
      </c>
      <c r="H873" s="37">
        <v>8</v>
      </c>
      <c r="I873" s="37">
        <v>30000</v>
      </c>
      <c r="J873" s="37">
        <v>0.05</v>
      </c>
      <c r="K873" s="37">
        <f t="shared" si="27"/>
        <v>228000</v>
      </c>
      <c r="L873" s="37" t="s">
        <v>26</v>
      </c>
      <c r="M873" s="37" t="s">
        <v>33</v>
      </c>
      <c r="N873" s="4" t="str">
        <f>IF(I873=_xlfn.XLOOKUP(F873,Lists!$D$2:$D$13,Lists!$E$2:$E$13,"Not Found"),"OK","Check Price")</f>
        <v>Check Price</v>
      </c>
    </row>
    <row r="874" spans="1:14" ht="15.5" hidden="1" thickTop="1" thickBot="1" x14ac:dyDescent="0.4">
      <c r="A874" s="36" t="str">
        <f t="shared" si="26"/>
        <v>ORD0873</v>
      </c>
      <c r="B874" s="34">
        <v>45838</v>
      </c>
      <c r="C874" s="38" t="s">
        <v>62</v>
      </c>
      <c r="D874" s="38" t="s">
        <v>45</v>
      </c>
      <c r="E874" s="38" t="s">
        <v>79</v>
      </c>
      <c r="F874" s="38" t="s">
        <v>58</v>
      </c>
      <c r="G874" s="38" t="s">
        <v>30</v>
      </c>
      <c r="H874" s="38">
        <v>5</v>
      </c>
      <c r="I874" s="38">
        <v>5000</v>
      </c>
      <c r="J874" s="38">
        <v>0.1</v>
      </c>
      <c r="K874" s="38">
        <f t="shared" si="27"/>
        <v>22500</v>
      </c>
      <c r="L874" s="38" t="s">
        <v>53</v>
      </c>
      <c r="M874" s="38" t="s">
        <v>38</v>
      </c>
      <c r="N874" s="4" t="str">
        <f>IF(I874=_xlfn.XLOOKUP(F874,Lists!$D$2:$D$13,Lists!$E$2:$E$13,"Not Found"),"OK","Check Price")</f>
        <v>OK</v>
      </c>
    </row>
    <row r="875" spans="1:14" ht="15.5" thickTop="1" thickBot="1" x14ac:dyDescent="0.4">
      <c r="A875" s="36" t="str">
        <f t="shared" si="26"/>
        <v>ORD0874</v>
      </c>
      <c r="B875" s="34">
        <v>45303</v>
      </c>
      <c r="C875" s="37" t="s">
        <v>78</v>
      </c>
      <c r="D875" s="37" t="s">
        <v>23</v>
      </c>
      <c r="E875" s="37" t="s">
        <v>119</v>
      </c>
      <c r="F875" s="37" t="s">
        <v>55</v>
      </c>
      <c r="G875" s="35" t="str">
        <f>_xlfn.XLOOKUP(F875,Lists!$J$2:$J$13,Lists!$K$2:$K$13,"Not Found")</f>
        <v>Office Supplies</v>
      </c>
      <c r="H875" s="37">
        <v>3</v>
      </c>
      <c r="I875" s="35">
        <f>_xlfn.XLOOKUP(F875,Lists!$D$2:$D$13,Lists!$E$2:$E$13,"Not Found")</f>
        <v>1500</v>
      </c>
      <c r="J875" s="47">
        <v>0.05</v>
      </c>
      <c r="K875" s="35">
        <f>H875*I875*(1-J875)</f>
        <v>4275</v>
      </c>
      <c r="L875" s="37" t="s">
        <v>53</v>
      </c>
      <c r="M875" s="37" t="s">
        <v>38</v>
      </c>
      <c r="N875" s="4" t="str">
        <f>IF(I875=_xlfn.XLOOKUP(F875,Lists!$D$2:$D$13,Lists!$E$2:$E$13,"Not Found"),"OK","Check Price")</f>
        <v>OK</v>
      </c>
    </row>
    <row r="876" spans="1:14" ht="15.5" hidden="1" thickTop="1" thickBot="1" x14ac:dyDescent="0.4">
      <c r="A876" s="36" t="str">
        <f t="shared" si="26"/>
        <v>ORD0875</v>
      </c>
      <c r="B876" s="34">
        <v>45908</v>
      </c>
      <c r="C876" s="38" t="s">
        <v>66</v>
      </c>
      <c r="D876" s="38" t="s">
        <v>45</v>
      </c>
      <c r="E876" s="38" t="s">
        <v>79</v>
      </c>
      <c r="F876" s="38" t="s">
        <v>40</v>
      </c>
      <c r="G876" s="38" t="s">
        <v>24</v>
      </c>
      <c r="H876" s="38">
        <v>7</v>
      </c>
      <c r="I876" s="38">
        <v>2000</v>
      </c>
      <c r="J876" s="38">
        <v>0.15</v>
      </c>
      <c r="K876" s="38">
        <f t="shared" si="27"/>
        <v>11900</v>
      </c>
      <c r="L876" s="38" t="s">
        <v>50</v>
      </c>
      <c r="M876" s="38" t="s">
        <v>33</v>
      </c>
      <c r="N876" s="4" t="str">
        <f>IF(I876=_xlfn.XLOOKUP(F876,Lists!$D$2:$D$13,Lists!$E$2:$E$13,"Not Found"),"OK","Check Price")</f>
        <v>Check Price</v>
      </c>
    </row>
    <row r="877" spans="1:14" ht="15.5" thickTop="1" thickBot="1" x14ac:dyDescent="0.4">
      <c r="A877" s="36" t="str">
        <f t="shared" si="26"/>
        <v>ORD0876</v>
      </c>
      <c r="B877" s="34">
        <v>45494</v>
      </c>
      <c r="C877" s="37" t="s">
        <v>75</v>
      </c>
      <c r="D877" s="37" t="s">
        <v>28</v>
      </c>
      <c r="E877" s="37" t="s">
        <v>79</v>
      </c>
      <c r="F877" s="37" t="s">
        <v>55</v>
      </c>
      <c r="G877" s="35" t="str">
        <f>_xlfn.XLOOKUP(F877,Lists!$J$2:$J$13,Lists!$K$2:$K$13,"Not Found")</f>
        <v>Office Supplies</v>
      </c>
      <c r="H877" s="37">
        <v>4</v>
      </c>
      <c r="I877" s="35">
        <f>_xlfn.XLOOKUP(F877,Lists!$D$2:$D$13,Lists!$E$2:$E$13,"Not Found")</f>
        <v>1500</v>
      </c>
      <c r="J877" s="47">
        <v>0.2</v>
      </c>
      <c r="K877" s="35">
        <f>H877*I877*(1-J877)</f>
        <v>4800</v>
      </c>
      <c r="L877" s="37" t="s">
        <v>56</v>
      </c>
      <c r="M877" s="37" t="s">
        <v>27</v>
      </c>
      <c r="N877" s="4" t="str">
        <f>IF(I877=_xlfn.XLOOKUP(F877,Lists!$D$2:$D$13,Lists!$E$2:$E$13,"Not Found"),"OK","Check Price")</f>
        <v>OK</v>
      </c>
    </row>
    <row r="878" spans="1:14" ht="15.5" hidden="1" thickTop="1" thickBot="1" x14ac:dyDescent="0.4">
      <c r="A878" s="36" t="str">
        <f t="shared" si="26"/>
        <v>ORD0877</v>
      </c>
      <c r="B878" s="34">
        <v>45408</v>
      </c>
      <c r="C878" s="38" t="s">
        <v>60</v>
      </c>
      <c r="D878" s="38" t="s">
        <v>17</v>
      </c>
      <c r="E878" s="38" t="s">
        <v>18</v>
      </c>
      <c r="F878" s="38" t="s">
        <v>25</v>
      </c>
      <c r="G878" s="38" t="s">
        <v>24</v>
      </c>
      <c r="H878" s="38">
        <v>5</v>
      </c>
      <c r="I878" s="38">
        <v>2000</v>
      </c>
      <c r="J878" s="38">
        <v>0.1</v>
      </c>
      <c r="K878" s="38">
        <f t="shared" si="27"/>
        <v>9000</v>
      </c>
      <c r="L878" s="38" t="s">
        <v>32</v>
      </c>
      <c r="M878" s="38" t="s">
        <v>22</v>
      </c>
      <c r="N878" s="4" t="str">
        <f>IF(I878=_xlfn.XLOOKUP(F878,Lists!$D$2:$D$13,Lists!$E$2:$E$13,"Not Found"),"OK","Check Price")</f>
        <v>Check Price</v>
      </c>
    </row>
    <row r="879" spans="1:14" ht="15.5" hidden="1" thickTop="1" thickBot="1" x14ac:dyDescent="0.4">
      <c r="A879" s="36" t="str">
        <f t="shared" si="26"/>
        <v>ORD0878</v>
      </c>
      <c r="B879" s="34">
        <v>45992</v>
      </c>
      <c r="C879" s="37" t="s">
        <v>64</v>
      </c>
      <c r="D879" s="37" t="s">
        <v>28</v>
      </c>
      <c r="E879" s="37" t="s">
        <v>29</v>
      </c>
      <c r="F879" s="37" t="s">
        <v>57</v>
      </c>
      <c r="G879" s="37" t="s">
        <v>24</v>
      </c>
      <c r="H879" s="37">
        <v>2</v>
      </c>
      <c r="I879" s="37">
        <v>22000</v>
      </c>
      <c r="J879" s="37">
        <v>0.1</v>
      </c>
      <c r="K879" s="37">
        <f t="shared" si="27"/>
        <v>39600</v>
      </c>
      <c r="L879" s="37" t="s">
        <v>37</v>
      </c>
      <c r="M879" s="37" t="s">
        <v>38</v>
      </c>
      <c r="N879" s="4" t="str">
        <f>IF(I879=_xlfn.XLOOKUP(F879,Lists!$D$2:$D$13,Lists!$E$2:$E$13,"Not Found"),"OK","Check Price")</f>
        <v>Check Price</v>
      </c>
    </row>
    <row r="880" spans="1:14" ht="15.5" hidden="1" thickTop="1" thickBot="1" x14ac:dyDescent="0.4">
      <c r="A880" s="36" t="str">
        <f t="shared" si="26"/>
        <v>ORD0879</v>
      </c>
      <c r="B880" s="34">
        <v>45994</v>
      </c>
      <c r="C880" s="38" t="s">
        <v>62</v>
      </c>
      <c r="D880" s="38" t="s">
        <v>28</v>
      </c>
      <c r="E880" s="38" t="s">
        <v>29</v>
      </c>
      <c r="F880" s="38" t="s">
        <v>36</v>
      </c>
      <c r="G880" s="38" t="s">
        <v>19</v>
      </c>
      <c r="H880" s="38">
        <v>2</v>
      </c>
      <c r="I880" s="38">
        <v>85000</v>
      </c>
      <c r="J880" s="38">
        <v>0.15</v>
      </c>
      <c r="K880" s="38">
        <f t="shared" si="27"/>
        <v>144500</v>
      </c>
      <c r="L880" s="38" t="s">
        <v>37</v>
      </c>
      <c r="M880" s="38" t="s">
        <v>22</v>
      </c>
      <c r="N880" s="4" t="str">
        <f>IF(I880=_xlfn.XLOOKUP(F880,Lists!$D$2:$D$13,Lists!$E$2:$E$13,"Not Found"),"OK","Check Price")</f>
        <v>Check Price</v>
      </c>
    </row>
    <row r="881" spans="1:14" ht="15.5" thickTop="1" thickBot="1" x14ac:dyDescent="0.4">
      <c r="A881" s="36" t="str">
        <f t="shared" si="26"/>
        <v>ORD0880</v>
      </c>
      <c r="B881" s="34">
        <v>46002</v>
      </c>
      <c r="C881" s="37" t="s">
        <v>71</v>
      </c>
      <c r="D881" s="37" t="s">
        <v>45</v>
      </c>
      <c r="E881" s="37" t="s">
        <v>80</v>
      </c>
      <c r="F881" s="37" t="s">
        <v>55</v>
      </c>
      <c r="G881" s="35" t="str">
        <f>_xlfn.XLOOKUP(F881,Lists!$J$2:$J$13,Lists!$K$2:$K$13,"Not Found")</f>
        <v>Office Supplies</v>
      </c>
      <c r="H881" s="37">
        <v>7</v>
      </c>
      <c r="I881" s="35">
        <f>_xlfn.XLOOKUP(F881,Lists!$D$2:$D$13,Lists!$E$2:$E$13,"Not Found")</f>
        <v>1500</v>
      </c>
      <c r="J881" s="47">
        <v>0.05</v>
      </c>
      <c r="K881" s="35">
        <f t="shared" si="27"/>
        <v>9975</v>
      </c>
      <c r="L881" s="37" t="s">
        <v>44</v>
      </c>
      <c r="M881" s="37" t="s">
        <v>33</v>
      </c>
      <c r="N881" s="4" t="str">
        <f>IF(I881=_xlfn.XLOOKUP(F881,Lists!$D$2:$D$13,Lists!$E$2:$E$13,"Not Found"),"OK","Check Price")</f>
        <v>OK</v>
      </c>
    </row>
    <row r="882" spans="1:14" ht="15.5" thickTop="1" thickBot="1" x14ac:dyDescent="0.4">
      <c r="A882" s="36" t="str">
        <f t="shared" si="26"/>
        <v>ORD0881</v>
      </c>
      <c r="B882" s="34">
        <v>45866</v>
      </c>
      <c r="C882" s="38" t="s">
        <v>74</v>
      </c>
      <c r="D882" s="38" t="s">
        <v>54</v>
      </c>
      <c r="E882" s="38" t="s">
        <v>35</v>
      </c>
      <c r="F882" s="38" t="s">
        <v>55</v>
      </c>
      <c r="G882" s="35" t="str">
        <f>_xlfn.XLOOKUP(F882,Lists!$J$2:$J$13,Lists!$K$2:$K$13,"Not Found")</f>
        <v>Office Supplies</v>
      </c>
      <c r="H882" s="38">
        <v>2</v>
      </c>
      <c r="I882" s="35">
        <f>_xlfn.XLOOKUP(F882,Lists!$D$2:$D$13,Lists!$E$2:$E$13,"Not Found")</f>
        <v>1500</v>
      </c>
      <c r="J882" s="48">
        <v>0.15</v>
      </c>
      <c r="K882" s="35">
        <f t="shared" si="27"/>
        <v>2550</v>
      </c>
      <c r="L882" s="38" t="s">
        <v>47</v>
      </c>
      <c r="M882" s="38" t="s">
        <v>38</v>
      </c>
      <c r="N882" s="4" t="str">
        <f>IF(I882=_xlfn.XLOOKUP(F882,Lists!$D$2:$D$13,Lists!$E$2:$E$13,"Not Found"),"OK","Check Price")</f>
        <v>OK</v>
      </c>
    </row>
    <row r="883" spans="1:14" ht="15.5" hidden="1" thickTop="1" thickBot="1" x14ac:dyDescent="0.4">
      <c r="A883" s="36" t="str">
        <f t="shared" si="26"/>
        <v>ORD0882</v>
      </c>
      <c r="B883" s="34">
        <v>45741</v>
      </c>
      <c r="C883" s="37" t="s">
        <v>62</v>
      </c>
      <c r="D883" s="37" t="s">
        <v>42</v>
      </c>
      <c r="E883" s="37" t="s">
        <v>35</v>
      </c>
      <c r="F883" s="37" t="s">
        <v>43</v>
      </c>
      <c r="G883" s="37" t="s">
        <v>24</v>
      </c>
      <c r="H883" s="37">
        <v>9</v>
      </c>
      <c r="I883" s="37">
        <v>28000</v>
      </c>
      <c r="J883" s="37">
        <v>0.25</v>
      </c>
      <c r="K883" s="37">
        <f t="shared" si="27"/>
        <v>189000</v>
      </c>
      <c r="L883" s="37" t="s">
        <v>53</v>
      </c>
      <c r="M883" s="37" t="s">
        <v>27</v>
      </c>
      <c r="N883" s="4" t="str">
        <f>IF(I883=_xlfn.XLOOKUP(F883,Lists!$D$2:$D$13,Lists!$E$2:$E$13,"Not Found"),"OK","Check Price")</f>
        <v>Check Price</v>
      </c>
    </row>
    <row r="884" spans="1:14" ht="15.5" thickTop="1" thickBot="1" x14ac:dyDescent="0.4">
      <c r="A884" s="36" t="str">
        <f t="shared" si="26"/>
        <v>ORD0883</v>
      </c>
      <c r="B884" s="34">
        <v>45978</v>
      </c>
      <c r="C884" s="38" t="s">
        <v>64</v>
      </c>
      <c r="D884" s="38" t="s">
        <v>23</v>
      </c>
      <c r="E884" s="38" t="s">
        <v>18</v>
      </c>
      <c r="F884" s="38" t="s">
        <v>46</v>
      </c>
      <c r="G884" s="35" t="str">
        <f>_xlfn.XLOOKUP(F884,Lists!$J$2:$J$13,Lists!$K$2:$K$13,"Not Found")</f>
        <v>Furniture</v>
      </c>
      <c r="H884" s="38">
        <v>7</v>
      </c>
      <c r="I884" s="35">
        <f>_xlfn.XLOOKUP(F884,Lists!$D$2:$D$13,Lists!$E$2:$E$13,"Not Found")</f>
        <v>22000</v>
      </c>
      <c r="J884" s="48">
        <v>0.05</v>
      </c>
      <c r="K884" s="35">
        <f>H884*I884*(1-J884)</f>
        <v>146300</v>
      </c>
      <c r="L884" s="38" t="s">
        <v>44</v>
      </c>
      <c r="M884" s="38" t="s">
        <v>33</v>
      </c>
      <c r="N884" s="4" t="str">
        <f>IF(I884=_xlfn.XLOOKUP(F884,Lists!$D$2:$D$13,Lists!$E$2:$E$13,"Not Found"),"OK","Check Price")</f>
        <v>OK</v>
      </c>
    </row>
    <row r="885" spans="1:14" ht="15.5" hidden="1" thickTop="1" thickBot="1" x14ac:dyDescent="0.4">
      <c r="A885" s="36" t="str">
        <f t="shared" si="26"/>
        <v>ORD0884</v>
      </c>
      <c r="B885" s="34">
        <v>45399</v>
      </c>
      <c r="C885" s="37" t="s">
        <v>63</v>
      </c>
      <c r="D885" s="37" t="s">
        <v>51</v>
      </c>
      <c r="E885" s="37" t="s">
        <v>79</v>
      </c>
      <c r="F885" s="37" t="s">
        <v>49</v>
      </c>
      <c r="G885" s="37" t="s">
        <v>24</v>
      </c>
      <c r="H885" s="37">
        <v>4</v>
      </c>
      <c r="I885" s="37">
        <v>2500</v>
      </c>
      <c r="J885" s="37">
        <v>0.05</v>
      </c>
      <c r="K885" s="37">
        <f t="shared" si="27"/>
        <v>9500</v>
      </c>
      <c r="L885" s="37" t="s">
        <v>56</v>
      </c>
      <c r="M885" s="37" t="s">
        <v>33</v>
      </c>
      <c r="N885" s="4" t="str">
        <f>IF(I885=_xlfn.XLOOKUP(F885,Lists!$D$2:$D$13,Lists!$E$2:$E$13,"Not Found"),"OK","Check Price")</f>
        <v>Check Price</v>
      </c>
    </row>
    <row r="886" spans="1:14" ht="15.5" hidden="1" thickTop="1" thickBot="1" x14ac:dyDescent="0.4">
      <c r="A886" s="36" t="str">
        <f t="shared" si="26"/>
        <v>ORD0885</v>
      </c>
      <c r="B886" s="34">
        <v>45801</v>
      </c>
      <c r="C886" s="38" t="s">
        <v>70</v>
      </c>
      <c r="D886" s="38" t="s">
        <v>17</v>
      </c>
      <c r="E886" s="38" t="s">
        <v>119</v>
      </c>
      <c r="F886" s="38" t="s">
        <v>31</v>
      </c>
      <c r="G886" s="38" t="s">
        <v>19</v>
      </c>
      <c r="H886" s="38">
        <v>4</v>
      </c>
      <c r="I886" s="38">
        <v>30000</v>
      </c>
      <c r="J886" s="38">
        <v>0.15</v>
      </c>
      <c r="K886" s="38">
        <f t="shared" si="27"/>
        <v>102000</v>
      </c>
      <c r="L886" s="38" t="s">
        <v>41</v>
      </c>
      <c r="M886" s="38" t="s">
        <v>38</v>
      </c>
      <c r="N886" s="4" t="str">
        <f>IF(I886=_xlfn.XLOOKUP(F886,Lists!$D$2:$D$13,Lists!$E$2:$E$13,"Not Found"),"OK","Check Price")</f>
        <v>Check Price</v>
      </c>
    </row>
    <row r="887" spans="1:14" ht="15.5" hidden="1" thickTop="1" thickBot="1" x14ac:dyDescent="0.4">
      <c r="A887" s="36" t="str">
        <f t="shared" si="26"/>
        <v>ORD0886</v>
      </c>
      <c r="B887" s="34">
        <v>45326</v>
      </c>
      <c r="C887" s="37" t="s">
        <v>72</v>
      </c>
      <c r="D887" s="37" t="s">
        <v>42</v>
      </c>
      <c r="E887" s="37" t="s">
        <v>80</v>
      </c>
      <c r="F887" s="37" t="s">
        <v>43</v>
      </c>
      <c r="G887" s="37" t="s">
        <v>19</v>
      </c>
      <c r="H887" s="37">
        <v>3</v>
      </c>
      <c r="I887" s="37">
        <v>2500</v>
      </c>
      <c r="J887" s="37">
        <v>0.1</v>
      </c>
      <c r="K887" s="37">
        <f t="shared" si="27"/>
        <v>6750</v>
      </c>
      <c r="L887" s="37" t="s">
        <v>56</v>
      </c>
      <c r="M887" s="37" t="s">
        <v>27</v>
      </c>
      <c r="N887" s="4" t="str">
        <f>IF(I887=_xlfn.XLOOKUP(F887,Lists!$D$2:$D$13,Lists!$E$2:$E$13,"Not Found"),"OK","Check Price")</f>
        <v>Check Price</v>
      </c>
    </row>
    <row r="888" spans="1:14" ht="15.5" hidden="1" thickTop="1" thickBot="1" x14ac:dyDescent="0.4">
      <c r="A888" s="36" t="str">
        <f t="shared" si="26"/>
        <v>ORD0887</v>
      </c>
      <c r="B888" s="34">
        <v>45985</v>
      </c>
      <c r="C888" s="38" t="s">
        <v>60</v>
      </c>
      <c r="D888" s="38" t="s">
        <v>23</v>
      </c>
      <c r="E888" s="38" t="s">
        <v>35</v>
      </c>
      <c r="F888" s="38" t="s">
        <v>52</v>
      </c>
      <c r="G888" s="38" t="s">
        <v>30</v>
      </c>
      <c r="H888" s="38">
        <v>8</v>
      </c>
      <c r="I888" s="38">
        <v>2500</v>
      </c>
      <c r="J888" s="38">
        <v>0.15</v>
      </c>
      <c r="K888" s="38">
        <f t="shared" si="27"/>
        <v>17000</v>
      </c>
      <c r="L888" s="38" t="s">
        <v>21</v>
      </c>
      <c r="M888" s="38" t="s">
        <v>27</v>
      </c>
      <c r="N888" s="4" t="str">
        <f>IF(I888=_xlfn.XLOOKUP(F888,Lists!$D$2:$D$13,Lists!$E$2:$E$13,"Not Found"),"OK","Check Price")</f>
        <v>Check Price</v>
      </c>
    </row>
    <row r="889" spans="1:14" ht="15.5" thickTop="1" thickBot="1" x14ac:dyDescent="0.4">
      <c r="A889" s="36" t="str">
        <f t="shared" si="26"/>
        <v>ORD0888</v>
      </c>
      <c r="B889" s="34">
        <v>45758</v>
      </c>
      <c r="C889" s="37" t="s">
        <v>67</v>
      </c>
      <c r="D889" s="37" t="s">
        <v>17</v>
      </c>
      <c r="E889" s="37" t="s">
        <v>119</v>
      </c>
      <c r="F889" s="37" t="s">
        <v>20</v>
      </c>
      <c r="G889" s="35" t="str">
        <f>_xlfn.XLOOKUP(F889,Lists!$J$2:$J$13,Lists!$K$2:$K$13,"Not Found")</f>
        <v>Electronics</v>
      </c>
      <c r="H889" s="37">
        <v>4</v>
      </c>
      <c r="I889" s="35">
        <f>_xlfn.XLOOKUP(F889,Lists!$D$2:$D$13,Lists!$E$2:$E$13,"Not Found")</f>
        <v>85000</v>
      </c>
      <c r="J889" s="47">
        <v>0.2</v>
      </c>
      <c r="K889" s="35">
        <f>H889*I889*(1-J889)</f>
        <v>272000</v>
      </c>
      <c r="L889" s="37" t="s">
        <v>21</v>
      </c>
      <c r="M889" s="37" t="s">
        <v>22</v>
      </c>
      <c r="N889" s="4" t="str">
        <f>IF(I889=_xlfn.XLOOKUP(F889,Lists!$D$2:$D$13,Lists!$E$2:$E$13,"Not Found"),"OK","Check Price")</f>
        <v>OK</v>
      </c>
    </row>
    <row r="890" spans="1:14" ht="15.5" hidden="1" thickTop="1" thickBot="1" x14ac:dyDescent="0.4">
      <c r="A890" s="36" t="str">
        <f t="shared" si="26"/>
        <v>ORD0889</v>
      </c>
      <c r="B890" s="34">
        <v>45676</v>
      </c>
      <c r="C890" s="38" t="s">
        <v>63</v>
      </c>
      <c r="D890" s="38" t="s">
        <v>23</v>
      </c>
      <c r="E890" s="38" t="s">
        <v>29</v>
      </c>
      <c r="F890" s="38" t="s">
        <v>57</v>
      </c>
      <c r="G890" s="38" t="s">
        <v>24</v>
      </c>
      <c r="H890" s="38">
        <v>6</v>
      </c>
      <c r="I890" s="38">
        <v>4000</v>
      </c>
      <c r="J890" s="38">
        <v>0.15</v>
      </c>
      <c r="K890" s="38">
        <f t="shared" si="27"/>
        <v>20400</v>
      </c>
      <c r="L890" s="38" t="s">
        <v>26</v>
      </c>
      <c r="M890" s="38" t="s">
        <v>38</v>
      </c>
      <c r="N890" s="4" t="str">
        <f>IF(I890=_xlfn.XLOOKUP(F890,Lists!$D$2:$D$13,Lists!$E$2:$E$13,"Not Found"),"OK","Check Price")</f>
        <v>Check Price</v>
      </c>
    </row>
    <row r="891" spans="1:14" ht="15.5" thickTop="1" thickBot="1" x14ac:dyDescent="0.4">
      <c r="A891" s="36" t="str">
        <f t="shared" si="26"/>
        <v>ORD0890</v>
      </c>
      <c r="B891" s="34">
        <v>45470</v>
      </c>
      <c r="C891" s="37" t="s">
        <v>73</v>
      </c>
      <c r="D891" s="37" t="s">
        <v>48</v>
      </c>
      <c r="E891" s="37" t="s">
        <v>18</v>
      </c>
      <c r="F891" s="37" t="s">
        <v>20</v>
      </c>
      <c r="G891" s="35" t="str">
        <f>_xlfn.XLOOKUP(F891,Lists!$J$2:$J$13,Lists!$K$2:$K$13,"Not Found")</f>
        <v>Electronics</v>
      </c>
      <c r="H891" s="37">
        <v>5</v>
      </c>
      <c r="I891" s="35">
        <f>_xlfn.XLOOKUP(F891,Lists!$D$2:$D$13,Lists!$E$2:$E$13,"Not Found")</f>
        <v>85000</v>
      </c>
      <c r="J891" s="47">
        <v>0.1</v>
      </c>
      <c r="K891" s="35">
        <f t="shared" si="27"/>
        <v>382500</v>
      </c>
      <c r="L891" s="37" t="s">
        <v>44</v>
      </c>
      <c r="M891" s="37" t="s">
        <v>22</v>
      </c>
      <c r="N891" s="4" t="str">
        <f>IF(I891=_xlfn.XLOOKUP(F891,Lists!$D$2:$D$13,Lists!$E$2:$E$13,"Not Found"),"OK","Check Price")</f>
        <v>OK</v>
      </c>
    </row>
    <row r="892" spans="1:14" ht="15.5" thickTop="1" thickBot="1" x14ac:dyDescent="0.4">
      <c r="A892" s="36" t="str">
        <f t="shared" si="26"/>
        <v>ORD0891</v>
      </c>
      <c r="B892" s="34">
        <v>45687</v>
      </c>
      <c r="C892" s="38" t="s">
        <v>64</v>
      </c>
      <c r="D892" s="38" t="s">
        <v>51</v>
      </c>
      <c r="E892" s="38" t="s">
        <v>80</v>
      </c>
      <c r="F892" s="38" t="s">
        <v>20</v>
      </c>
      <c r="G892" s="35" t="str">
        <f>_xlfn.XLOOKUP(F892,Lists!$J$2:$J$13,Lists!$K$2:$K$13,"Not Found")</f>
        <v>Electronics</v>
      </c>
      <c r="H892" s="38">
        <v>7</v>
      </c>
      <c r="I892" s="35">
        <f>_xlfn.XLOOKUP(F892,Lists!$D$2:$D$13,Lists!$E$2:$E$13,"Not Found")</f>
        <v>85000</v>
      </c>
      <c r="J892" s="48">
        <v>0.25</v>
      </c>
      <c r="K892" s="35">
        <f t="shared" si="27"/>
        <v>446250</v>
      </c>
      <c r="L892" s="38" t="s">
        <v>21</v>
      </c>
      <c r="M892" s="38" t="s">
        <v>38</v>
      </c>
      <c r="N892" s="4" t="str">
        <f>IF(I892=_xlfn.XLOOKUP(F892,Lists!$D$2:$D$13,Lists!$E$2:$E$13,"Not Found"),"OK","Check Price")</f>
        <v>OK</v>
      </c>
    </row>
    <row r="893" spans="1:14" ht="15.5" hidden="1" thickTop="1" thickBot="1" x14ac:dyDescent="0.4">
      <c r="A893" s="36" t="str">
        <f t="shared" si="26"/>
        <v>ORD0892</v>
      </c>
      <c r="B893" s="34">
        <v>45464</v>
      </c>
      <c r="C893" s="37" t="s">
        <v>65</v>
      </c>
      <c r="D893" s="37" t="s">
        <v>28</v>
      </c>
      <c r="E893" s="37" t="s">
        <v>79</v>
      </c>
      <c r="F893" s="37" t="s">
        <v>58</v>
      </c>
      <c r="G893" s="37" t="s">
        <v>30</v>
      </c>
      <c r="H893" s="37">
        <v>2</v>
      </c>
      <c r="I893" s="37">
        <v>30000</v>
      </c>
      <c r="J893" s="37">
        <v>0.1</v>
      </c>
      <c r="K893" s="37">
        <f t="shared" si="27"/>
        <v>54000</v>
      </c>
      <c r="L893" s="37" t="s">
        <v>53</v>
      </c>
      <c r="M893" s="37" t="s">
        <v>27</v>
      </c>
      <c r="N893" s="4" t="str">
        <f>IF(I893=_xlfn.XLOOKUP(F893,Lists!$D$2:$D$13,Lists!$E$2:$E$13,"Not Found"),"OK","Check Price")</f>
        <v>Check Price</v>
      </c>
    </row>
    <row r="894" spans="1:14" ht="15.5" hidden="1" thickTop="1" thickBot="1" x14ac:dyDescent="0.4">
      <c r="A894" s="36" t="str">
        <f t="shared" si="26"/>
        <v>ORD0893</v>
      </c>
      <c r="B894" s="34">
        <v>45644</v>
      </c>
      <c r="C894" s="38" t="s">
        <v>69</v>
      </c>
      <c r="D894" s="38" t="s">
        <v>17</v>
      </c>
      <c r="E894" s="38" t="s">
        <v>79</v>
      </c>
      <c r="F894" s="38" t="s">
        <v>31</v>
      </c>
      <c r="G894" s="38" t="s">
        <v>24</v>
      </c>
      <c r="H894" s="38">
        <v>10</v>
      </c>
      <c r="I894" s="38">
        <v>1500</v>
      </c>
      <c r="J894" s="38">
        <v>0.05</v>
      </c>
      <c r="K894" s="38">
        <f t="shared" si="27"/>
        <v>14250</v>
      </c>
      <c r="L894" s="38" t="s">
        <v>44</v>
      </c>
      <c r="M894" s="38" t="s">
        <v>22</v>
      </c>
      <c r="N894" s="4" t="str">
        <f>IF(I894=_xlfn.XLOOKUP(F894,Lists!$D$2:$D$13,Lists!$E$2:$E$13,"Not Found"),"OK","Check Price")</f>
        <v>Check Price</v>
      </c>
    </row>
    <row r="895" spans="1:14" ht="15.5" thickTop="1" thickBot="1" x14ac:dyDescent="0.4">
      <c r="A895" s="36" t="str">
        <f t="shared" si="26"/>
        <v>ORD0894</v>
      </c>
      <c r="B895" s="34">
        <v>45629</v>
      </c>
      <c r="C895" s="37" t="s">
        <v>66</v>
      </c>
      <c r="D895" s="37" t="s">
        <v>42</v>
      </c>
      <c r="E895" s="37" t="s">
        <v>79</v>
      </c>
      <c r="F895" s="37" t="s">
        <v>20</v>
      </c>
      <c r="G895" s="35" t="str">
        <f>_xlfn.XLOOKUP(F895,Lists!$J$2:$J$13,Lists!$K$2:$K$13,"Not Found")</f>
        <v>Electronics</v>
      </c>
      <c r="H895" s="37">
        <v>7</v>
      </c>
      <c r="I895" s="35">
        <f>_xlfn.XLOOKUP(F895,Lists!$D$2:$D$13,Lists!$E$2:$E$13,"Not Found")</f>
        <v>85000</v>
      </c>
      <c r="J895" s="47">
        <v>0.2</v>
      </c>
      <c r="K895" s="35">
        <f>H895*I895*(1-J895)</f>
        <v>476000</v>
      </c>
      <c r="L895" s="37" t="s">
        <v>41</v>
      </c>
      <c r="M895" s="37" t="s">
        <v>33</v>
      </c>
      <c r="N895" s="4" t="str">
        <f>IF(I895=_xlfn.XLOOKUP(F895,Lists!$D$2:$D$13,Lists!$E$2:$E$13,"Not Found"),"OK","Check Price")</f>
        <v>OK</v>
      </c>
    </row>
    <row r="896" spans="1:14" ht="15.5" hidden="1" thickTop="1" thickBot="1" x14ac:dyDescent="0.4">
      <c r="A896" s="36" t="str">
        <f t="shared" si="26"/>
        <v>ORD0895</v>
      </c>
      <c r="B896" s="34">
        <v>45362</v>
      </c>
      <c r="C896" s="38" t="s">
        <v>65</v>
      </c>
      <c r="D896" s="38" t="s">
        <v>54</v>
      </c>
      <c r="E896" s="38" t="s">
        <v>18</v>
      </c>
      <c r="F896" s="38" t="s">
        <v>25</v>
      </c>
      <c r="G896" s="38" t="s">
        <v>30</v>
      </c>
      <c r="H896" s="38">
        <v>3</v>
      </c>
      <c r="I896" s="38">
        <v>12000</v>
      </c>
      <c r="J896" s="38">
        <v>0.05</v>
      </c>
      <c r="K896" s="38">
        <f t="shared" si="27"/>
        <v>34200</v>
      </c>
      <c r="L896" s="38" t="s">
        <v>47</v>
      </c>
      <c r="M896" s="38" t="s">
        <v>38</v>
      </c>
      <c r="N896" s="4" t="str">
        <f>IF(I896=_xlfn.XLOOKUP(F896,Lists!$D$2:$D$13,Lists!$E$2:$E$13,"Not Found"),"OK","Check Price")</f>
        <v>Check Price</v>
      </c>
    </row>
    <row r="897" spans="1:14" ht="15.5" hidden="1" thickTop="1" thickBot="1" x14ac:dyDescent="0.4">
      <c r="A897" s="36" t="str">
        <f t="shared" si="26"/>
        <v>ORD0896</v>
      </c>
      <c r="B897" s="34">
        <v>45663</v>
      </c>
      <c r="C897" s="37" t="s">
        <v>65</v>
      </c>
      <c r="D897" s="37" t="s">
        <v>39</v>
      </c>
      <c r="E897" s="37" t="s">
        <v>79</v>
      </c>
      <c r="F897" s="37" t="s">
        <v>57</v>
      </c>
      <c r="G897" s="37" t="s">
        <v>30</v>
      </c>
      <c r="H897" s="37">
        <v>5</v>
      </c>
      <c r="I897" s="37">
        <v>2500</v>
      </c>
      <c r="J897" s="37">
        <v>0.1</v>
      </c>
      <c r="K897" s="37">
        <f t="shared" si="27"/>
        <v>11250</v>
      </c>
      <c r="L897" s="37" t="s">
        <v>56</v>
      </c>
      <c r="M897" s="37" t="s">
        <v>38</v>
      </c>
      <c r="N897" s="4" t="str">
        <f>IF(I897=_xlfn.XLOOKUP(F897,Lists!$D$2:$D$13,Lists!$E$2:$E$13,"Not Found"),"OK","Check Price")</f>
        <v>Check Price</v>
      </c>
    </row>
    <row r="898" spans="1:14" ht="15.5" thickTop="1" thickBot="1" x14ac:dyDescent="0.4">
      <c r="A898" s="36" t="str">
        <f t="shared" si="26"/>
        <v>ORD0897</v>
      </c>
      <c r="B898" s="34">
        <v>45466</v>
      </c>
      <c r="C898" s="38" t="s">
        <v>78</v>
      </c>
      <c r="D898" s="38" t="s">
        <v>39</v>
      </c>
      <c r="E898" s="38" t="s">
        <v>18</v>
      </c>
      <c r="F898" s="38" t="s">
        <v>46</v>
      </c>
      <c r="G898" s="35" t="str">
        <f>_xlfn.XLOOKUP(F898,Lists!$J$2:$J$13,Lists!$K$2:$K$13,"Not Found")</f>
        <v>Furniture</v>
      </c>
      <c r="H898" s="38">
        <v>2</v>
      </c>
      <c r="I898" s="35">
        <f>_xlfn.XLOOKUP(F898,Lists!$D$2:$D$13,Lists!$E$2:$E$13,"Not Found")</f>
        <v>22000</v>
      </c>
      <c r="J898" s="48">
        <v>0.1</v>
      </c>
      <c r="K898" s="35">
        <f>H898*I898*(1-J898)</f>
        <v>39600</v>
      </c>
      <c r="L898" s="38" t="s">
        <v>37</v>
      </c>
      <c r="M898" s="38" t="s">
        <v>27</v>
      </c>
      <c r="N898" s="4" t="str">
        <f>IF(I898=_xlfn.XLOOKUP(F898,Lists!$D$2:$D$13,Lists!$E$2:$E$13,"Not Found"),"OK","Check Price")</f>
        <v>OK</v>
      </c>
    </row>
    <row r="899" spans="1:14" ht="15.5" hidden="1" thickTop="1" thickBot="1" x14ac:dyDescent="0.4">
      <c r="A899" s="36" t="str">
        <f t="shared" ref="A899:A962" si="28">"ORD"&amp;TEXT(ROW()-1,"0000")</f>
        <v>ORD0898</v>
      </c>
      <c r="B899" s="34">
        <v>45980</v>
      </c>
      <c r="C899" s="37" t="s">
        <v>70</v>
      </c>
      <c r="D899" s="37" t="s">
        <v>28</v>
      </c>
      <c r="E899" s="37" t="s">
        <v>29</v>
      </c>
      <c r="F899" s="37" t="s">
        <v>40</v>
      </c>
      <c r="G899" s="37" t="s">
        <v>19</v>
      </c>
      <c r="H899" s="37">
        <v>5</v>
      </c>
      <c r="I899" s="37">
        <v>12000</v>
      </c>
      <c r="J899" s="37">
        <v>0.15</v>
      </c>
      <c r="K899" s="37">
        <f t="shared" ref="K899:K962" si="29">H899*I899*(1-J899)</f>
        <v>51000</v>
      </c>
      <c r="L899" s="37" t="s">
        <v>37</v>
      </c>
      <c r="M899" s="37" t="s">
        <v>27</v>
      </c>
      <c r="N899" s="4" t="str">
        <f>IF(I899=_xlfn.XLOOKUP(F899,Lists!$D$2:$D$13,Lists!$E$2:$E$13,"Not Found"),"OK","Check Price")</f>
        <v>Check Price</v>
      </c>
    </row>
    <row r="900" spans="1:14" ht="15.5" hidden="1" thickTop="1" thickBot="1" x14ac:dyDescent="0.4">
      <c r="A900" s="36" t="str">
        <f t="shared" si="28"/>
        <v>ORD0899</v>
      </c>
      <c r="B900" s="34">
        <v>45973</v>
      </c>
      <c r="C900" s="38" t="s">
        <v>59</v>
      </c>
      <c r="D900" s="38" t="s">
        <v>51</v>
      </c>
      <c r="E900" s="38" t="s">
        <v>35</v>
      </c>
      <c r="F900" s="38" t="s">
        <v>43</v>
      </c>
      <c r="G900" s="38" t="s">
        <v>24</v>
      </c>
      <c r="H900" s="38">
        <v>9</v>
      </c>
      <c r="I900" s="38">
        <v>2500</v>
      </c>
      <c r="J900" s="38">
        <v>0.25</v>
      </c>
      <c r="K900" s="38">
        <f t="shared" si="29"/>
        <v>16875</v>
      </c>
      <c r="L900" s="38" t="s">
        <v>47</v>
      </c>
      <c r="M900" s="38" t="s">
        <v>33</v>
      </c>
      <c r="N900" s="4" t="str">
        <f>IF(I900=_xlfn.XLOOKUP(F900,Lists!$D$2:$D$13,Lists!$E$2:$E$13,"Not Found"),"OK","Check Price")</f>
        <v>Check Price</v>
      </c>
    </row>
    <row r="901" spans="1:14" ht="15.5" hidden="1" thickTop="1" thickBot="1" x14ac:dyDescent="0.4">
      <c r="A901" s="36" t="str">
        <f t="shared" si="28"/>
        <v>ORD0900</v>
      </c>
      <c r="B901" s="34">
        <v>45965</v>
      </c>
      <c r="C901" s="37" t="s">
        <v>78</v>
      </c>
      <c r="D901" s="37" t="s">
        <v>54</v>
      </c>
      <c r="E901" s="37" t="s">
        <v>79</v>
      </c>
      <c r="F901" s="37" t="s">
        <v>52</v>
      </c>
      <c r="G901" s="37" t="s">
        <v>30</v>
      </c>
      <c r="H901" s="37">
        <v>1</v>
      </c>
      <c r="I901" s="37">
        <v>12000</v>
      </c>
      <c r="J901" s="37">
        <v>0.2</v>
      </c>
      <c r="K901" s="37">
        <f t="shared" si="29"/>
        <v>9600</v>
      </c>
      <c r="L901" s="37" t="s">
        <v>37</v>
      </c>
      <c r="M901" s="37" t="s">
        <v>27</v>
      </c>
      <c r="N901" s="4" t="str">
        <f>IF(I901=_xlfn.XLOOKUP(F901,Lists!$D$2:$D$13,Lists!$E$2:$E$13,"Not Found"),"OK","Check Price")</f>
        <v>Check Price</v>
      </c>
    </row>
    <row r="902" spans="1:14" ht="15.5" hidden="1" thickTop="1" thickBot="1" x14ac:dyDescent="0.4">
      <c r="A902" s="36" t="str">
        <f t="shared" si="28"/>
        <v>ORD0901</v>
      </c>
      <c r="B902" s="34">
        <v>45920</v>
      </c>
      <c r="C902" s="38" t="s">
        <v>69</v>
      </c>
      <c r="D902" s="38" t="s">
        <v>54</v>
      </c>
      <c r="E902" s="38" t="s">
        <v>18</v>
      </c>
      <c r="F902" s="38" t="s">
        <v>58</v>
      </c>
      <c r="G902" s="38" t="s">
        <v>19</v>
      </c>
      <c r="H902" s="38">
        <v>10</v>
      </c>
      <c r="I902" s="38">
        <v>85000</v>
      </c>
      <c r="J902" s="38">
        <v>0.1</v>
      </c>
      <c r="K902" s="38">
        <f t="shared" si="29"/>
        <v>765000</v>
      </c>
      <c r="L902" s="38" t="s">
        <v>41</v>
      </c>
      <c r="M902" s="38" t="s">
        <v>27</v>
      </c>
      <c r="N902" s="4" t="str">
        <f>IF(I902=_xlfn.XLOOKUP(F902,Lists!$D$2:$D$13,Lists!$E$2:$E$13,"Not Found"),"OK","Check Price")</f>
        <v>Check Price</v>
      </c>
    </row>
    <row r="903" spans="1:14" ht="15.5" hidden="1" thickTop="1" thickBot="1" x14ac:dyDescent="0.4">
      <c r="A903" s="36" t="str">
        <f t="shared" si="28"/>
        <v>ORD0902</v>
      </c>
      <c r="B903" s="34">
        <v>45754</v>
      </c>
      <c r="C903" s="37" t="s">
        <v>63</v>
      </c>
      <c r="D903" s="37" t="s">
        <v>28</v>
      </c>
      <c r="E903" s="37" t="s">
        <v>119</v>
      </c>
      <c r="F903" s="37" t="s">
        <v>52</v>
      </c>
      <c r="G903" s="37" t="s">
        <v>19</v>
      </c>
      <c r="H903" s="37">
        <v>4</v>
      </c>
      <c r="I903" s="37">
        <v>1500</v>
      </c>
      <c r="J903" s="37">
        <v>0.05</v>
      </c>
      <c r="K903" s="37">
        <f t="shared" si="29"/>
        <v>5700</v>
      </c>
      <c r="L903" s="37" t="s">
        <v>32</v>
      </c>
      <c r="M903" s="37" t="s">
        <v>33</v>
      </c>
      <c r="N903" s="4" t="str">
        <f>IF(I903=_xlfn.XLOOKUP(F903,Lists!$D$2:$D$13,Lists!$E$2:$E$13,"Not Found"),"OK","Check Price")</f>
        <v>Check Price</v>
      </c>
    </row>
    <row r="904" spans="1:14" ht="15.5" thickTop="1" thickBot="1" x14ac:dyDescent="0.4">
      <c r="A904" s="36" t="str">
        <f t="shared" si="28"/>
        <v>ORD0903</v>
      </c>
      <c r="B904" s="34">
        <v>45545</v>
      </c>
      <c r="C904" s="38" t="s">
        <v>77</v>
      </c>
      <c r="D904" s="38" t="s">
        <v>23</v>
      </c>
      <c r="E904" s="38" t="s">
        <v>35</v>
      </c>
      <c r="F904" s="38" t="s">
        <v>20</v>
      </c>
      <c r="G904" s="35" t="str">
        <f>_xlfn.XLOOKUP(F904,Lists!$J$2:$J$13,Lists!$K$2:$K$13,"Not Found")</f>
        <v>Electronics</v>
      </c>
      <c r="H904" s="38">
        <v>9</v>
      </c>
      <c r="I904" s="35">
        <f>_xlfn.XLOOKUP(F904,Lists!$D$2:$D$13,Lists!$E$2:$E$13,"Not Found")</f>
        <v>85000</v>
      </c>
      <c r="J904" s="48">
        <v>0.05</v>
      </c>
      <c r="K904" s="35">
        <f t="shared" si="29"/>
        <v>726750</v>
      </c>
      <c r="L904" s="38" t="s">
        <v>56</v>
      </c>
      <c r="M904" s="38" t="s">
        <v>27</v>
      </c>
      <c r="N904" s="4" t="str">
        <f>IF(I904=_xlfn.XLOOKUP(F904,Lists!$D$2:$D$13,Lists!$E$2:$E$13,"Not Found"),"OK","Check Price")</f>
        <v>OK</v>
      </c>
    </row>
    <row r="905" spans="1:14" ht="15.5" thickTop="1" thickBot="1" x14ac:dyDescent="0.4">
      <c r="A905" s="36" t="str">
        <f t="shared" si="28"/>
        <v>ORD0904</v>
      </c>
      <c r="B905" s="34">
        <v>46015</v>
      </c>
      <c r="C905" s="37" t="s">
        <v>78</v>
      </c>
      <c r="D905" s="37" t="s">
        <v>34</v>
      </c>
      <c r="E905" s="37" t="s">
        <v>18</v>
      </c>
      <c r="F905" s="37" t="s">
        <v>20</v>
      </c>
      <c r="G905" s="35" t="str">
        <f>_xlfn.XLOOKUP(F905,Lists!$J$2:$J$13,Lists!$K$2:$K$13,"Not Found")</f>
        <v>Electronics</v>
      </c>
      <c r="H905" s="37">
        <v>6</v>
      </c>
      <c r="I905" s="35">
        <f>_xlfn.XLOOKUP(F905,Lists!$D$2:$D$13,Lists!$E$2:$E$13,"Not Found")</f>
        <v>85000</v>
      </c>
      <c r="J905" s="47">
        <v>0.25</v>
      </c>
      <c r="K905" s="35">
        <f t="shared" si="29"/>
        <v>382500</v>
      </c>
      <c r="L905" s="37" t="s">
        <v>37</v>
      </c>
      <c r="M905" s="37" t="s">
        <v>22</v>
      </c>
      <c r="N905" s="4" t="str">
        <f>IF(I905=_xlfn.XLOOKUP(F905,Lists!$D$2:$D$13,Lists!$E$2:$E$13,"Not Found"),"OK","Check Price")</f>
        <v>OK</v>
      </c>
    </row>
    <row r="906" spans="1:14" ht="15.5" hidden="1" thickTop="1" thickBot="1" x14ac:dyDescent="0.4">
      <c r="A906" s="36" t="str">
        <f t="shared" si="28"/>
        <v>ORD0905</v>
      </c>
      <c r="B906" s="34">
        <v>45394</v>
      </c>
      <c r="C906" s="38" t="s">
        <v>67</v>
      </c>
      <c r="D906" s="38" t="s">
        <v>17</v>
      </c>
      <c r="E906" s="38" t="s">
        <v>79</v>
      </c>
      <c r="F906" s="38" t="s">
        <v>31</v>
      </c>
      <c r="G906" s="38" t="s">
        <v>24</v>
      </c>
      <c r="H906" s="38">
        <v>10</v>
      </c>
      <c r="I906" s="38">
        <v>85000</v>
      </c>
      <c r="J906" s="38">
        <v>0.05</v>
      </c>
      <c r="K906" s="38">
        <f t="shared" si="29"/>
        <v>807500</v>
      </c>
      <c r="L906" s="38" t="s">
        <v>41</v>
      </c>
      <c r="M906" s="38" t="s">
        <v>38</v>
      </c>
      <c r="N906" s="4" t="str">
        <f>IF(I906=_xlfn.XLOOKUP(F906,Lists!$D$2:$D$13,Lists!$E$2:$E$13,"Not Found"),"OK","Check Price")</f>
        <v>Check Price</v>
      </c>
    </row>
    <row r="907" spans="1:14" ht="15.5" thickTop="1" thickBot="1" x14ac:dyDescent="0.4">
      <c r="A907" s="36" t="str">
        <f t="shared" si="28"/>
        <v>ORD0906</v>
      </c>
      <c r="B907" s="34">
        <v>45868</v>
      </c>
      <c r="C907" s="37" t="s">
        <v>67</v>
      </c>
      <c r="D907" s="37" t="s">
        <v>48</v>
      </c>
      <c r="E907" s="37" t="s">
        <v>29</v>
      </c>
      <c r="F907" s="37" t="s">
        <v>55</v>
      </c>
      <c r="G907" s="35" t="str">
        <f>_xlfn.XLOOKUP(F907,Lists!$J$2:$J$13,Lists!$K$2:$K$13,"Not Found")</f>
        <v>Office Supplies</v>
      </c>
      <c r="H907" s="37">
        <v>1</v>
      </c>
      <c r="I907" s="35">
        <f>_xlfn.XLOOKUP(F907,Lists!$D$2:$D$13,Lists!$E$2:$E$13,"Not Found")</f>
        <v>1500</v>
      </c>
      <c r="J907" s="47">
        <v>0.05</v>
      </c>
      <c r="K907" s="35">
        <f>H907*I907*(1-J907)</f>
        <v>1425</v>
      </c>
      <c r="L907" s="37" t="s">
        <v>53</v>
      </c>
      <c r="M907" s="37" t="s">
        <v>27</v>
      </c>
      <c r="N907" s="4" t="str">
        <f>IF(I907=_xlfn.XLOOKUP(F907,Lists!$D$2:$D$13,Lists!$E$2:$E$13,"Not Found"),"OK","Check Price")</f>
        <v>OK</v>
      </c>
    </row>
    <row r="908" spans="1:14" ht="15.5" hidden="1" thickTop="1" thickBot="1" x14ac:dyDescent="0.4">
      <c r="A908" s="36" t="str">
        <f t="shared" si="28"/>
        <v>ORD0907</v>
      </c>
      <c r="B908" s="34">
        <v>45903</v>
      </c>
      <c r="C908" s="38" t="s">
        <v>74</v>
      </c>
      <c r="D908" s="38" t="s">
        <v>48</v>
      </c>
      <c r="E908" s="38" t="s">
        <v>29</v>
      </c>
      <c r="F908" s="38" t="s">
        <v>43</v>
      </c>
      <c r="G908" s="38" t="s">
        <v>24</v>
      </c>
      <c r="H908" s="38">
        <v>8</v>
      </c>
      <c r="I908" s="38">
        <v>1200</v>
      </c>
      <c r="J908" s="38">
        <v>0.2</v>
      </c>
      <c r="K908" s="38">
        <f t="shared" si="29"/>
        <v>7680</v>
      </c>
      <c r="L908" s="38" t="s">
        <v>56</v>
      </c>
      <c r="M908" s="38" t="s">
        <v>38</v>
      </c>
      <c r="N908" s="4" t="str">
        <f>IF(I908=_xlfn.XLOOKUP(F908,Lists!$D$2:$D$13,Lists!$E$2:$E$13,"Not Found"),"OK","Check Price")</f>
        <v>Check Price</v>
      </c>
    </row>
    <row r="909" spans="1:14" ht="15.5" hidden="1" thickTop="1" thickBot="1" x14ac:dyDescent="0.4">
      <c r="A909" s="36" t="str">
        <f t="shared" si="28"/>
        <v>ORD0908</v>
      </c>
      <c r="B909" s="34">
        <v>46003</v>
      </c>
      <c r="C909" s="37" t="s">
        <v>62</v>
      </c>
      <c r="D909" s="37" t="s">
        <v>23</v>
      </c>
      <c r="E909" s="37" t="s">
        <v>18</v>
      </c>
      <c r="F909" s="37" t="s">
        <v>40</v>
      </c>
      <c r="G909" s="37" t="s">
        <v>24</v>
      </c>
      <c r="H909" s="37">
        <v>3</v>
      </c>
      <c r="I909" s="37">
        <v>22000</v>
      </c>
      <c r="J909" s="37">
        <v>0.2</v>
      </c>
      <c r="K909" s="37">
        <f t="shared" si="29"/>
        <v>52800</v>
      </c>
      <c r="L909" s="37" t="s">
        <v>56</v>
      </c>
      <c r="M909" s="37" t="s">
        <v>22</v>
      </c>
      <c r="N909" s="4" t="str">
        <f>IF(I909=_xlfn.XLOOKUP(F909,Lists!$D$2:$D$13,Lists!$E$2:$E$13,"Not Found"),"OK","Check Price")</f>
        <v>Check Price</v>
      </c>
    </row>
    <row r="910" spans="1:14" ht="15.5" hidden="1" thickTop="1" thickBot="1" x14ac:dyDescent="0.4">
      <c r="A910" s="36" t="str">
        <f t="shared" si="28"/>
        <v>ORD0909</v>
      </c>
      <c r="B910" s="34">
        <v>45315</v>
      </c>
      <c r="C910" s="38" t="s">
        <v>59</v>
      </c>
      <c r="D910" s="38" t="s">
        <v>51</v>
      </c>
      <c r="E910" s="38" t="s">
        <v>80</v>
      </c>
      <c r="F910" s="38" t="s">
        <v>31</v>
      </c>
      <c r="G910" s="38" t="s">
        <v>24</v>
      </c>
      <c r="H910" s="38">
        <v>10</v>
      </c>
      <c r="I910" s="38">
        <v>5000</v>
      </c>
      <c r="J910" s="38">
        <v>0.2</v>
      </c>
      <c r="K910" s="38">
        <f t="shared" si="29"/>
        <v>40000</v>
      </c>
      <c r="L910" s="38" t="s">
        <v>41</v>
      </c>
      <c r="M910" s="38" t="s">
        <v>33</v>
      </c>
      <c r="N910" s="4" t="str">
        <f>IF(I910=_xlfn.XLOOKUP(F910,Lists!$D$2:$D$13,Lists!$E$2:$E$13,"Not Found"),"OK","Check Price")</f>
        <v>Check Price</v>
      </c>
    </row>
    <row r="911" spans="1:14" ht="15.5" thickTop="1" thickBot="1" x14ac:dyDescent="0.4">
      <c r="A911" s="36" t="str">
        <f t="shared" si="28"/>
        <v>ORD0910</v>
      </c>
      <c r="B911" s="34">
        <v>45455</v>
      </c>
      <c r="C911" s="37" t="s">
        <v>77</v>
      </c>
      <c r="D911" s="37" t="s">
        <v>48</v>
      </c>
      <c r="E911" s="37" t="s">
        <v>79</v>
      </c>
      <c r="F911" s="37" t="s">
        <v>55</v>
      </c>
      <c r="G911" s="35" t="str">
        <f>_xlfn.XLOOKUP(F911,Lists!$J$2:$J$13,Lists!$K$2:$K$13,"Not Found")</f>
        <v>Office Supplies</v>
      </c>
      <c r="H911" s="37">
        <v>5</v>
      </c>
      <c r="I911" s="35">
        <f>_xlfn.XLOOKUP(F911,Lists!$D$2:$D$13,Lists!$E$2:$E$13,"Not Found")</f>
        <v>1500</v>
      </c>
      <c r="J911" s="47">
        <v>0.2</v>
      </c>
      <c r="K911" s="35">
        <f>H911*I911*(1-J911)</f>
        <v>6000</v>
      </c>
      <c r="L911" s="37" t="s">
        <v>44</v>
      </c>
      <c r="M911" s="37" t="s">
        <v>22</v>
      </c>
      <c r="N911" s="4" t="str">
        <f>IF(I911=_xlfn.XLOOKUP(F911,Lists!$D$2:$D$13,Lists!$E$2:$E$13,"Not Found"),"OK","Check Price")</f>
        <v>OK</v>
      </c>
    </row>
    <row r="912" spans="1:14" ht="15.5" hidden="1" thickTop="1" thickBot="1" x14ac:dyDescent="0.4">
      <c r="A912" s="36" t="str">
        <f t="shared" si="28"/>
        <v>ORD0911</v>
      </c>
      <c r="B912" s="34">
        <v>45534</v>
      </c>
      <c r="C912" s="38" t="s">
        <v>64</v>
      </c>
      <c r="D912" s="38" t="s">
        <v>17</v>
      </c>
      <c r="E912" s="38" t="s">
        <v>29</v>
      </c>
      <c r="F912" s="38" t="s">
        <v>31</v>
      </c>
      <c r="G912" s="38" t="s">
        <v>24</v>
      </c>
      <c r="H912" s="38">
        <v>5</v>
      </c>
      <c r="I912" s="38">
        <v>28000</v>
      </c>
      <c r="J912" s="38">
        <v>0.1</v>
      </c>
      <c r="K912" s="38">
        <f t="shared" si="29"/>
        <v>126000</v>
      </c>
      <c r="L912" s="38" t="s">
        <v>53</v>
      </c>
      <c r="M912" s="38" t="s">
        <v>22</v>
      </c>
      <c r="N912" s="4" t="str">
        <f>IF(I912=_xlfn.XLOOKUP(F912,Lists!$D$2:$D$13,Lists!$E$2:$E$13,"Not Found"),"OK","Check Price")</f>
        <v>Check Price</v>
      </c>
    </row>
    <row r="913" spans="1:14" ht="15.5" thickTop="1" thickBot="1" x14ac:dyDescent="0.4">
      <c r="A913" s="36" t="str">
        <f t="shared" si="28"/>
        <v>ORD0912</v>
      </c>
      <c r="B913" s="34">
        <v>45473</v>
      </c>
      <c r="C913" s="37" t="s">
        <v>69</v>
      </c>
      <c r="D913" s="37" t="s">
        <v>48</v>
      </c>
      <c r="E913" s="37" t="s">
        <v>35</v>
      </c>
      <c r="F913" s="37" t="s">
        <v>46</v>
      </c>
      <c r="G913" s="35" t="str">
        <f>_xlfn.XLOOKUP(F913,Lists!$J$2:$J$13,Lists!$K$2:$K$13,"Not Found")</f>
        <v>Furniture</v>
      </c>
      <c r="H913" s="37">
        <v>8</v>
      </c>
      <c r="I913" s="35">
        <f>_xlfn.XLOOKUP(F913,Lists!$D$2:$D$13,Lists!$E$2:$E$13,"Not Found")</f>
        <v>22000</v>
      </c>
      <c r="J913" s="47">
        <v>0.2</v>
      </c>
      <c r="K913" s="35">
        <f>H913*I913*(1-J913)</f>
        <v>140800</v>
      </c>
      <c r="L913" s="37" t="s">
        <v>47</v>
      </c>
      <c r="M913" s="37" t="s">
        <v>38</v>
      </c>
      <c r="N913" s="4" t="str">
        <f>IF(I913=_xlfn.XLOOKUP(F913,Lists!$D$2:$D$13,Lists!$E$2:$E$13,"Not Found"),"OK","Check Price")</f>
        <v>OK</v>
      </c>
    </row>
    <row r="914" spans="1:14" ht="15.5" hidden="1" thickTop="1" thickBot="1" x14ac:dyDescent="0.4">
      <c r="A914" s="36" t="str">
        <f t="shared" si="28"/>
        <v>ORD0913</v>
      </c>
      <c r="B914" s="34">
        <v>45303</v>
      </c>
      <c r="C914" s="38" t="s">
        <v>65</v>
      </c>
      <c r="D914" s="38" t="s">
        <v>48</v>
      </c>
      <c r="E914" s="38" t="s">
        <v>119</v>
      </c>
      <c r="F914" s="38" t="s">
        <v>36</v>
      </c>
      <c r="G914" s="38" t="s">
        <v>24</v>
      </c>
      <c r="H914" s="38">
        <v>5</v>
      </c>
      <c r="I914" s="38">
        <v>28000</v>
      </c>
      <c r="J914" s="38">
        <v>0.05</v>
      </c>
      <c r="K914" s="38">
        <f t="shared" si="29"/>
        <v>133000</v>
      </c>
      <c r="L914" s="38" t="s">
        <v>53</v>
      </c>
      <c r="M914" s="38" t="s">
        <v>27</v>
      </c>
      <c r="N914" s="4" t="str">
        <f>IF(I914=_xlfn.XLOOKUP(F914,Lists!$D$2:$D$13,Lists!$E$2:$E$13,"Not Found"),"OK","Check Price")</f>
        <v>Check Price</v>
      </c>
    </row>
    <row r="915" spans="1:14" ht="15.5" hidden="1" thickTop="1" thickBot="1" x14ac:dyDescent="0.4">
      <c r="A915" s="36" t="str">
        <f t="shared" si="28"/>
        <v>ORD0914</v>
      </c>
      <c r="B915" s="34">
        <v>45450</v>
      </c>
      <c r="C915" s="37" t="s">
        <v>65</v>
      </c>
      <c r="D915" s="37" t="s">
        <v>39</v>
      </c>
      <c r="E915" s="37" t="s">
        <v>18</v>
      </c>
      <c r="F915" s="37" t="s">
        <v>25</v>
      </c>
      <c r="G915" s="37" t="s">
        <v>24</v>
      </c>
      <c r="H915" s="37">
        <v>1</v>
      </c>
      <c r="I915" s="37">
        <v>2500</v>
      </c>
      <c r="J915" s="37">
        <v>0.1</v>
      </c>
      <c r="K915" s="37">
        <f t="shared" si="29"/>
        <v>2250</v>
      </c>
      <c r="L915" s="37" t="s">
        <v>21</v>
      </c>
      <c r="M915" s="37" t="s">
        <v>27</v>
      </c>
      <c r="N915" s="4" t="str">
        <f>IF(I915=_xlfn.XLOOKUP(F915,Lists!$D$2:$D$13,Lists!$E$2:$E$13,"Not Found"),"OK","Check Price")</f>
        <v>Check Price</v>
      </c>
    </row>
    <row r="916" spans="1:14" ht="15.5" hidden="1" thickTop="1" thickBot="1" x14ac:dyDescent="0.4">
      <c r="A916" s="36" t="str">
        <f t="shared" si="28"/>
        <v>ORD0915</v>
      </c>
      <c r="B916" s="34">
        <v>45516</v>
      </c>
      <c r="C916" s="38" t="s">
        <v>74</v>
      </c>
      <c r="D916" s="38" t="s">
        <v>54</v>
      </c>
      <c r="E916" s="38" t="s">
        <v>29</v>
      </c>
      <c r="F916" s="38" t="s">
        <v>31</v>
      </c>
      <c r="G916" s="38" t="s">
        <v>30</v>
      </c>
      <c r="H916" s="38">
        <v>2</v>
      </c>
      <c r="I916" s="38">
        <v>85000</v>
      </c>
      <c r="J916" s="38">
        <v>0.1</v>
      </c>
      <c r="K916" s="38">
        <f t="shared" si="29"/>
        <v>153000</v>
      </c>
      <c r="L916" s="38" t="s">
        <v>26</v>
      </c>
      <c r="M916" s="38" t="s">
        <v>22</v>
      </c>
      <c r="N916" s="4" t="str">
        <f>IF(I916=_xlfn.XLOOKUP(F916,Lists!$D$2:$D$13,Lists!$E$2:$E$13,"Not Found"),"OK","Check Price")</f>
        <v>Check Price</v>
      </c>
    </row>
    <row r="917" spans="1:14" ht="15.5" hidden="1" thickTop="1" thickBot="1" x14ac:dyDescent="0.4">
      <c r="A917" s="36" t="str">
        <f t="shared" si="28"/>
        <v>ORD0916</v>
      </c>
      <c r="B917" s="34">
        <v>45732</v>
      </c>
      <c r="C917" s="37" t="s">
        <v>63</v>
      </c>
      <c r="D917" s="37" t="s">
        <v>28</v>
      </c>
      <c r="E917" s="37" t="s">
        <v>29</v>
      </c>
      <c r="F917" s="37" t="s">
        <v>43</v>
      </c>
      <c r="G917" s="37" t="s">
        <v>24</v>
      </c>
      <c r="H917" s="37">
        <v>1</v>
      </c>
      <c r="I917" s="37">
        <v>12000</v>
      </c>
      <c r="J917" s="37">
        <v>0.1</v>
      </c>
      <c r="K917" s="37">
        <f t="shared" si="29"/>
        <v>10800</v>
      </c>
      <c r="L917" s="37" t="s">
        <v>47</v>
      </c>
      <c r="M917" s="37" t="s">
        <v>27</v>
      </c>
      <c r="N917" s="4" t="str">
        <f>IF(I917=_xlfn.XLOOKUP(F917,Lists!$D$2:$D$13,Lists!$E$2:$E$13,"Not Found"),"OK","Check Price")</f>
        <v>OK</v>
      </c>
    </row>
    <row r="918" spans="1:14" ht="15.5" hidden="1" thickTop="1" thickBot="1" x14ac:dyDescent="0.4">
      <c r="A918" s="36" t="str">
        <f t="shared" si="28"/>
        <v>ORD0917</v>
      </c>
      <c r="B918" s="34">
        <v>45915</v>
      </c>
      <c r="C918" s="38" t="s">
        <v>67</v>
      </c>
      <c r="D918" s="38" t="s">
        <v>23</v>
      </c>
      <c r="E918" s="38" t="s">
        <v>80</v>
      </c>
      <c r="F918" s="38" t="s">
        <v>52</v>
      </c>
      <c r="G918" s="38" t="s">
        <v>30</v>
      </c>
      <c r="H918" s="38">
        <v>3</v>
      </c>
      <c r="I918" s="38">
        <v>350</v>
      </c>
      <c r="J918" s="38">
        <v>0.2</v>
      </c>
      <c r="K918" s="38">
        <f t="shared" si="29"/>
        <v>840</v>
      </c>
      <c r="L918" s="38" t="s">
        <v>50</v>
      </c>
      <c r="M918" s="38" t="s">
        <v>27</v>
      </c>
      <c r="N918" s="4" t="str">
        <f>IF(I918=_xlfn.XLOOKUP(F918,Lists!$D$2:$D$13,Lists!$E$2:$E$13,"Not Found"),"OK","Check Price")</f>
        <v>Check Price</v>
      </c>
    </row>
    <row r="919" spans="1:14" ht="15.5" hidden="1" thickTop="1" thickBot="1" x14ac:dyDescent="0.4">
      <c r="A919" s="36" t="str">
        <f t="shared" si="28"/>
        <v>ORD0918</v>
      </c>
      <c r="B919" s="34">
        <v>45342</v>
      </c>
      <c r="C919" s="37" t="s">
        <v>78</v>
      </c>
      <c r="D919" s="37" t="s">
        <v>34</v>
      </c>
      <c r="E919" s="37" t="s">
        <v>35</v>
      </c>
      <c r="F919" s="37" t="s">
        <v>52</v>
      </c>
      <c r="G919" s="37" t="s">
        <v>19</v>
      </c>
      <c r="H919" s="37">
        <v>3</v>
      </c>
      <c r="I919" s="37">
        <v>5000</v>
      </c>
      <c r="J919" s="37">
        <v>0.25</v>
      </c>
      <c r="K919" s="37">
        <f t="shared" si="29"/>
        <v>11250</v>
      </c>
      <c r="L919" s="37" t="s">
        <v>47</v>
      </c>
      <c r="M919" s="37" t="s">
        <v>38</v>
      </c>
      <c r="N919" s="4" t="str">
        <f>IF(I919=_xlfn.XLOOKUP(F919,Lists!$D$2:$D$13,Lists!$E$2:$E$13,"Not Found"),"OK","Check Price")</f>
        <v>Check Price</v>
      </c>
    </row>
    <row r="920" spans="1:14" ht="15.5" hidden="1" thickTop="1" thickBot="1" x14ac:dyDescent="0.4">
      <c r="A920" s="36" t="str">
        <f t="shared" si="28"/>
        <v>ORD0919</v>
      </c>
      <c r="B920" s="34">
        <v>45436</v>
      </c>
      <c r="C920" s="38" t="s">
        <v>63</v>
      </c>
      <c r="D920" s="38" t="s">
        <v>28</v>
      </c>
      <c r="E920" s="38" t="s">
        <v>79</v>
      </c>
      <c r="F920" s="38" t="s">
        <v>58</v>
      </c>
      <c r="G920" s="38" t="s">
        <v>19</v>
      </c>
      <c r="H920" s="38">
        <v>7</v>
      </c>
      <c r="I920" s="38">
        <v>85000</v>
      </c>
      <c r="J920" s="38">
        <v>0.05</v>
      </c>
      <c r="K920" s="38">
        <f t="shared" si="29"/>
        <v>565250</v>
      </c>
      <c r="L920" s="38" t="s">
        <v>41</v>
      </c>
      <c r="M920" s="38" t="s">
        <v>22</v>
      </c>
      <c r="N920" s="4" t="str">
        <f>IF(I920=_xlfn.XLOOKUP(F920,Lists!$D$2:$D$13,Lists!$E$2:$E$13,"Not Found"),"OK","Check Price")</f>
        <v>Check Price</v>
      </c>
    </row>
    <row r="921" spans="1:14" ht="15.5" hidden="1" thickTop="1" thickBot="1" x14ac:dyDescent="0.4">
      <c r="A921" s="36" t="str">
        <f t="shared" si="28"/>
        <v>ORD0920</v>
      </c>
      <c r="B921" s="34">
        <v>45571</v>
      </c>
      <c r="C921" s="37" t="s">
        <v>61</v>
      </c>
      <c r="D921" s="37" t="s">
        <v>42</v>
      </c>
      <c r="E921" s="37" t="s">
        <v>80</v>
      </c>
      <c r="F921" s="37" t="s">
        <v>58</v>
      </c>
      <c r="G921" s="37" t="s">
        <v>19</v>
      </c>
      <c r="H921" s="37">
        <v>9</v>
      </c>
      <c r="I921" s="37">
        <v>12000</v>
      </c>
      <c r="J921" s="37">
        <v>0.25</v>
      </c>
      <c r="K921" s="37">
        <f t="shared" si="29"/>
        <v>81000</v>
      </c>
      <c r="L921" s="37" t="s">
        <v>21</v>
      </c>
      <c r="M921" s="37" t="s">
        <v>27</v>
      </c>
      <c r="N921" s="4" t="str">
        <f>IF(I921=_xlfn.XLOOKUP(F921,Lists!$D$2:$D$13,Lists!$E$2:$E$13,"Not Found"),"OK","Check Price")</f>
        <v>Check Price</v>
      </c>
    </row>
    <row r="922" spans="1:14" ht="15.5" thickTop="1" thickBot="1" x14ac:dyDescent="0.4">
      <c r="A922" s="36" t="str">
        <f t="shared" si="28"/>
        <v>ORD0921</v>
      </c>
      <c r="B922" s="34">
        <v>45768</v>
      </c>
      <c r="C922" s="38" t="s">
        <v>76</v>
      </c>
      <c r="D922" s="38" t="s">
        <v>17</v>
      </c>
      <c r="E922" s="38" t="s">
        <v>18</v>
      </c>
      <c r="F922" s="38" t="s">
        <v>55</v>
      </c>
      <c r="G922" s="35" t="str">
        <f>_xlfn.XLOOKUP(F922,Lists!$J$2:$J$13,Lists!$K$2:$K$13,"Not Found")</f>
        <v>Office Supplies</v>
      </c>
      <c r="H922" s="38">
        <v>3</v>
      </c>
      <c r="I922" s="35">
        <f>_xlfn.XLOOKUP(F922,Lists!$D$2:$D$13,Lists!$E$2:$E$13,"Not Found")</f>
        <v>1500</v>
      </c>
      <c r="J922" s="48">
        <v>0.05</v>
      </c>
      <c r="K922" s="35">
        <f>H922*I922*(1-J922)</f>
        <v>4275</v>
      </c>
      <c r="L922" s="38" t="s">
        <v>41</v>
      </c>
      <c r="M922" s="38" t="s">
        <v>22</v>
      </c>
      <c r="N922" s="4" t="str">
        <f>IF(I922=_xlfn.XLOOKUP(F922,Lists!$D$2:$D$13,Lists!$E$2:$E$13,"Not Found"),"OK","Check Price")</f>
        <v>OK</v>
      </c>
    </row>
    <row r="923" spans="1:14" ht="15.5" hidden="1" thickTop="1" thickBot="1" x14ac:dyDescent="0.4">
      <c r="A923" s="36" t="str">
        <f t="shared" si="28"/>
        <v>ORD0922</v>
      </c>
      <c r="B923" s="34">
        <v>45916</v>
      </c>
      <c r="C923" s="37" t="s">
        <v>70</v>
      </c>
      <c r="D923" s="37" t="s">
        <v>42</v>
      </c>
      <c r="E923" s="37" t="s">
        <v>18</v>
      </c>
      <c r="F923" s="37" t="s">
        <v>25</v>
      </c>
      <c r="G923" s="37" t="s">
        <v>30</v>
      </c>
      <c r="H923" s="37">
        <v>8</v>
      </c>
      <c r="I923" s="37">
        <v>2000</v>
      </c>
      <c r="J923" s="37">
        <v>0.2</v>
      </c>
      <c r="K923" s="37">
        <f t="shared" si="29"/>
        <v>12800</v>
      </c>
      <c r="L923" s="37" t="s">
        <v>21</v>
      </c>
      <c r="M923" s="37" t="s">
        <v>27</v>
      </c>
      <c r="N923" s="4" t="str">
        <f>IF(I923=_xlfn.XLOOKUP(F923,Lists!$D$2:$D$13,Lists!$E$2:$E$13,"Not Found"),"OK","Check Price")</f>
        <v>Check Price</v>
      </c>
    </row>
    <row r="924" spans="1:14" ht="15.5" thickTop="1" thickBot="1" x14ac:dyDescent="0.4">
      <c r="A924" s="36" t="str">
        <f t="shared" si="28"/>
        <v>ORD0923</v>
      </c>
      <c r="B924" s="34">
        <v>45411</v>
      </c>
      <c r="C924" s="38" t="s">
        <v>68</v>
      </c>
      <c r="D924" s="38" t="s">
        <v>34</v>
      </c>
      <c r="E924" s="38" t="s">
        <v>35</v>
      </c>
      <c r="F924" s="38" t="s">
        <v>46</v>
      </c>
      <c r="G924" s="35" t="str">
        <f>_xlfn.XLOOKUP(F924,Lists!$J$2:$J$13,Lists!$K$2:$K$13,"Not Found")</f>
        <v>Furniture</v>
      </c>
      <c r="H924" s="38">
        <v>6</v>
      </c>
      <c r="I924" s="35">
        <f>_xlfn.XLOOKUP(F924,Lists!$D$2:$D$13,Lists!$E$2:$E$13,"Not Found")</f>
        <v>22000</v>
      </c>
      <c r="J924" s="48">
        <v>0.15</v>
      </c>
      <c r="K924" s="35">
        <f>H924*I924*(1-J924)</f>
        <v>112200</v>
      </c>
      <c r="L924" s="38" t="s">
        <v>47</v>
      </c>
      <c r="M924" s="38" t="s">
        <v>22</v>
      </c>
      <c r="N924" s="4" t="str">
        <f>IF(I924=_xlfn.XLOOKUP(F924,Lists!$D$2:$D$13,Lists!$E$2:$E$13,"Not Found"),"OK","Check Price")</f>
        <v>OK</v>
      </c>
    </row>
    <row r="925" spans="1:14" ht="15.5" hidden="1" thickTop="1" thickBot="1" x14ac:dyDescent="0.4">
      <c r="A925" s="36" t="str">
        <f t="shared" si="28"/>
        <v>ORD0924</v>
      </c>
      <c r="B925" s="34">
        <v>45962</v>
      </c>
      <c r="C925" s="37" t="s">
        <v>69</v>
      </c>
      <c r="D925" s="37" t="s">
        <v>28</v>
      </c>
      <c r="E925" s="37" t="s">
        <v>80</v>
      </c>
      <c r="F925" s="37" t="s">
        <v>43</v>
      </c>
      <c r="G925" s="37" t="s">
        <v>30</v>
      </c>
      <c r="H925" s="37">
        <v>10</v>
      </c>
      <c r="I925" s="37">
        <v>2500</v>
      </c>
      <c r="J925" s="37">
        <v>0.1</v>
      </c>
      <c r="K925" s="37">
        <f t="shared" si="29"/>
        <v>22500</v>
      </c>
      <c r="L925" s="37" t="s">
        <v>44</v>
      </c>
      <c r="M925" s="37" t="s">
        <v>33</v>
      </c>
      <c r="N925" s="4" t="str">
        <f>IF(I925=_xlfn.XLOOKUP(F925,Lists!$D$2:$D$13,Lists!$E$2:$E$13,"Not Found"),"OK","Check Price")</f>
        <v>Check Price</v>
      </c>
    </row>
    <row r="926" spans="1:14" ht="15.5" hidden="1" thickTop="1" thickBot="1" x14ac:dyDescent="0.4">
      <c r="A926" s="36" t="str">
        <f t="shared" si="28"/>
        <v>ORD0925</v>
      </c>
      <c r="B926" s="34">
        <v>45746</v>
      </c>
      <c r="C926" s="38" t="s">
        <v>76</v>
      </c>
      <c r="D926" s="38" t="s">
        <v>39</v>
      </c>
      <c r="E926" s="38" t="s">
        <v>79</v>
      </c>
      <c r="F926" s="38" t="s">
        <v>58</v>
      </c>
      <c r="G926" s="38" t="s">
        <v>24</v>
      </c>
      <c r="H926" s="38">
        <v>7</v>
      </c>
      <c r="I926" s="38">
        <v>2000</v>
      </c>
      <c r="J926" s="38">
        <v>0.2</v>
      </c>
      <c r="K926" s="38">
        <f t="shared" si="29"/>
        <v>11200</v>
      </c>
      <c r="L926" s="38" t="s">
        <v>41</v>
      </c>
      <c r="M926" s="38" t="s">
        <v>38</v>
      </c>
      <c r="N926" s="4" t="str">
        <f>IF(I926=_xlfn.XLOOKUP(F926,Lists!$D$2:$D$13,Lists!$E$2:$E$13,"Not Found"),"OK","Check Price")</f>
        <v>Check Price</v>
      </c>
    </row>
    <row r="927" spans="1:14" ht="15.5" hidden="1" thickTop="1" thickBot="1" x14ac:dyDescent="0.4">
      <c r="A927" s="36" t="str">
        <f t="shared" si="28"/>
        <v>ORD0926</v>
      </c>
      <c r="B927" s="34">
        <v>45340</v>
      </c>
      <c r="C927" s="37" t="s">
        <v>77</v>
      </c>
      <c r="D927" s="37" t="s">
        <v>48</v>
      </c>
      <c r="E927" s="37" t="s">
        <v>119</v>
      </c>
      <c r="F927" s="37" t="s">
        <v>49</v>
      </c>
      <c r="G927" s="37" t="s">
        <v>24</v>
      </c>
      <c r="H927" s="37">
        <v>7</v>
      </c>
      <c r="I927" s="37">
        <v>12000</v>
      </c>
      <c r="J927" s="37">
        <v>0.1</v>
      </c>
      <c r="K927" s="37">
        <f t="shared" si="29"/>
        <v>75600</v>
      </c>
      <c r="L927" s="37" t="s">
        <v>37</v>
      </c>
      <c r="M927" s="37" t="s">
        <v>22</v>
      </c>
      <c r="N927" s="4" t="str">
        <f>IF(I927=_xlfn.XLOOKUP(F927,Lists!$D$2:$D$13,Lists!$E$2:$E$13,"Not Found"),"OK","Check Price")</f>
        <v>Check Price</v>
      </c>
    </row>
    <row r="928" spans="1:14" ht="15.5" thickTop="1" thickBot="1" x14ac:dyDescent="0.4">
      <c r="A928" s="36" t="str">
        <f t="shared" si="28"/>
        <v>ORD0927</v>
      </c>
      <c r="B928" s="34">
        <v>45330</v>
      </c>
      <c r="C928" s="38" t="s">
        <v>70</v>
      </c>
      <c r="D928" s="38" t="s">
        <v>54</v>
      </c>
      <c r="E928" s="38" t="s">
        <v>18</v>
      </c>
      <c r="F928" s="38" t="s">
        <v>20</v>
      </c>
      <c r="G928" s="35" t="str">
        <f>_xlfn.XLOOKUP(F928,Lists!$J$2:$J$13,Lists!$K$2:$K$13,"Not Found")</f>
        <v>Electronics</v>
      </c>
      <c r="H928" s="38">
        <v>7</v>
      </c>
      <c r="I928" s="35">
        <f>_xlfn.XLOOKUP(F928,Lists!$D$2:$D$13,Lists!$E$2:$E$13,"Not Found")</f>
        <v>85000</v>
      </c>
      <c r="J928" s="48">
        <v>0.25</v>
      </c>
      <c r="K928" s="35">
        <f t="shared" si="29"/>
        <v>446250</v>
      </c>
      <c r="L928" s="38" t="s">
        <v>47</v>
      </c>
      <c r="M928" s="38" t="s">
        <v>27</v>
      </c>
      <c r="N928" s="4" t="str">
        <f>IF(I928=_xlfn.XLOOKUP(F928,Lists!$D$2:$D$13,Lists!$E$2:$E$13,"Not Found"),"OK","Check Price")</f>
        <v>OK</v>
      </c>
    </row>
    <row r="929" spans="1:14" ht="15.5" thickTop="1" thickBot="1" x14ac:dyDescent="0.4">
      <c r="A929" s="36" t="str">
        <f t="shared" si="28"/>
        <v>ORD0928</v>
      </c>
      <c r="B929" s="34">
        <v>45767</v>
      </c>
      <c r="C929" s="37" t="s">
        <v>73</v>
      </c>
      <c r="D929" s="37" t="s">
        <v>28</v>
      </c>
      <c r="E929" s="37" t="s">
        <v>29</v>
      </c>
      <c r="F929" s="37" t="s">
        <v>55</v>
      </c>
      <c r="G929" s="35" t="str">
        <f>_xlfn.XLOOKUP(F929,Lists!$J$2:$J$13,Lists!$K$2:$K$13,"Not Found")</f>
        <v>Office Supplies</v>
      </c>
      <c r="H929" s="37">
        <v>7</v>
      </c>
      <c r="I929" s="35">
        <f>_xlfn.XLOOKUP(F929,Lists!$D$2:$D$13,Lists!$E$2:$E$13,"Not Found")</f>
        <v>1500</v>
      </c>
      <c r="J929" s="47">
        <v>0.1</v>
      </c>
      <c r="K929" s="35">
        <f t="shared" si="29"/>
        <v>9450</v>
      </c>
      <c r="L929" s="37" t="s">
        <v>41</v>
      </c>
      <c r="M929" s="37" t="s">
        <v>33</v>
      </c>
      <c r="N929" s="4" t="str">
        <f>IF(I929=_xlfn.XLOOKUP(F929,Lists!$D$2:$D$13,Lists!$E$2:$E$13,"Not Found"),"OK","Check Price")</f>
        <v>OK</v>
      </c>
    </row>
    <row r="930" spans="1:14" ht="15.5" hidden="1" thickTop="1" thickBot="1" x14ac:dyDescent="0.4">
      <c r="A930" s="36" t="str">
        <f t="shared" si="28"/>
        <v>ORD0929</v>
      </c>
      <c r="B930" s="34">
        <v>45745</v>
      </c>
      <c r="C930" s="38" t="s">
        <v>59</v>
      </c>
      <c r="D930" s="38" t="s">
        <v>23</v>
      </c>
      <c r="E930" s="38" t="s">
        <v>119</v>
      </c>
      <c r="F930" s="38" t="s">
        <v>58</v>
      </c>
      <c r="G930" s="38" t="s">
        <v>30</v>
      </c>
      <c r="H930" s="38">
        <v>4</v>
      </c>
      <c r="I930" s="38">
        <v>1200</v>
      </c>
      <c r="J930" s="38">
        <v>0.05</v>
      </c>
      <c r="K930" s="38">
        <f t="shared" si="29"/>
        <v>4560</v>
      </c>
      <c r="L930" s="38" t="s">
        <v>32</v>
      </c>
      <c r="M930" s="38" t="s">
        <v>22</v>
      </c>
      <c r="N930" s="4" t="str">
        <f>IF(I930=_xlfn.XLOOKUP(F930,Lists!$D$2:$D$13,Lists!$E$2:$E$13,"Not Found"),"OK","Check Price")</f>
        <v>Check Price</v>
      </c>
    </row>
    <row r="931" spans="1:14" ht="15.5" thickTop="1" thickBot="1" x14ac:dyDescent="0.4">
      <c r="A931" s="36" t="str">
        <f t="shared" si="28"/>
        <v>ORD0930</v>
      </c>
      <c r="B931" s="34">
        <v>45791</v>
      </c>
      <c r="C931" s="37" t="s">
        <v>62</v>
      </c>
      <c r="D931" s="37" t="s">
        <v>45</v>
      </c>
      <c r="E931" s="37" t="s">
        <v>79</v>
      </c>
      <c r="F931" s="37" t="s">
        <v>55</v>
      </c>
      <c r="G931" s="35" t="str">
        <f>_xlfn.XLOOKUP(F931,Lists!$J$2:$J$13,Lists!$K$2:$K$13,"Not Found")</f>
        <v>Office Supplies</v>
      </c>
      <c r="H931" s="37">
        <v>4</v>
      </c>
      <c r="I931" s="35">
        <f>_xlfn.XLOOKUP(F931,Lists!$D$2:$D$13,Lists!$E$2:$E$13,"Not Found")</f>
        <v>1500</v>
      </c>
      <c r="J931" s="47">
        <v>0.1</v>
      </c>
      <c r="K931" s="35">
        <f t="shared" si="29"/>
        <v>5400</v>
      </c>
      <c r="L931" s="37" t="s">
        <v>56</v>
      </c>
      <c r="M931" s="37" t="s">
        <v>27</v>
      </c>
      <c r="N931" s="4" t="str">
        <f>IF(I931=_xlfn.XLOOKUP(F931,Lists!$D$2:$D$13,Lists!$E$2:$E$13,"Not Found"),"OK","Check Price")</f>
        <v>OK</v>
      </c>
    </row>
    <row r="932" spans="1:14" ht="15.5" thickTop="1" thickBot="1" x14ac:dyDescent="0.4">
      <c r="A932" s="36" t="str">
        <f t="shared" si="28"/>
        <v>ORD0931</v>
      </c>
      <c r="B932" s="34">
        <v>45968</v>
      </c>
      <c r="C932" s="38" t="s">
        <v>71</v>
      </c>
      <c r="D932" s="38" t="s">
        <v>34</v>
      </c>
      <c r="E932" s="38" t="s">
        <v>79</v>
      </c>
      <c r="F932" s="38" t="s">
        <v>20</v>
      </c>
      <c r="G932" s="35" t="str">
        <f>_xlfn.XLOOKUP(F932,Lists!$J$2:$J$13,Lists!$K$2:$K$13,"Not Found")</f>
        <v>Electronics</v>
      </c>
      <c r="H932" s="38">
        <v>1</v>
      </c>
      <c r="I932" s="35">
        <f>_xlfn.XLOOKUP(F932,Lists!$D$2:$D$13,Lists!$E$2:$E$13,"Not Found")</f>
        <v>85000</v>
      </c>
      <c r="J932" s="48">
        <v>0.15</v>
      </c>
      <c r="K932" s="35">
        <f t="shared" si="29"/>
        <v>72250</v>
      </c>
      <c r="L932" s="38" t="s">
        <v>53</v>
      </c>
      <c r="M932" s="38" t="s">
        <v>38</v>
      </c>
      <c r="N932" s="4" t="str">
        <f>IF(I932=_xlfn.XLOOKUP(F932,Lists!$D$2:$D$13,Lists!$E$2:$E$13,"Not Found"),"OK","Check Price")</f>
        <v>OK</v>
      </c>
    </row>
    <row r="933" spans="1:14" ht="15.5" hidden="1" thickTop="1" thickBot="1" x14ac:dyDescent="0.4">
      <c r="A933" s="36" t="str">
        <f t="shared" si="28"/>
        <v>ORD0932</v>
      </c>
      <c r="B933" s="34">
        <v>45602</v>
      </c>
      <c r="C933" s="37" t="s">
        <v>78</v>
      </c>
      <c r="D933" s="37" t="s">
        <v>48</v>
      </c>
      <c r="E933" s="37" t="s">
        <v>119</v>
      </c>
      <c r="F933" s="37" t="s">
        <v>31</v>
      </c>
      <c r="G933" s="37" t="s">
        <v>24</v>
      </c>
      <c r="H933" s="37">
        <v>7</v>
      </c>
      <c r="I933" s="37">
        <v>85000</v>
      </c>
      <c r="J933" s="37">
        <v>0.1</v>
      </c>
      <c r="K933" s="37">
        <f t="shared" si="29"/>
        <v>535500</v>
      </c>
      <c r="L933" s="37" t="s">
        <v>37</v>
      </c>
      <c r="M933" s="37" t="s">
        <v>33</v>
      </c>
      <c r="N933" s="4" t="str">
        <f>IF(I933=_xlfn.XLOOKUP(F933,Lists!$D$2:$D$13,Lists!$E$2:$E$13,"Not Found"),"OK","Check Price")</f>
        <v>Check Price</v>
      </c>
    </row>
    <row r="934" spans="1:14" ht="15.5" hidden="1" thickTop="1" thickBot="1" x14ac:dyDescent="0.4">
      <c r="A934" s="36" t="str">
        <f t="shared" si="28"/>
        <v>ORD0933</v>
      </c>
      <c r="B934" s="34">
        <v>45706</v>
      </c>
      <c r="C934" s="38" t="s">
        <v>63</v>
      </c>
      <c r="D934" s="38" t="s">
        <v>17</v>
      </c>
      <c r="E934" s="38" t="s">
        <v>35</v>
      </c>
      <c r="F934" s="38" t="s">
        <v>43</v>
      </c>
      <c r="G934" s="38" t="s">
        <v>19</v>
      </c>
      <c r="H934" s="38">
        <v>3</v>
      </c>
      <c r="I934" s="38">
        <v>5000</v>
      </c>
      <c r="J934" s="38">
        <v>0.25</v>
      </c>
      <c r="K934" s="38">
        <f t="shared" si="29"/>
        <v>11250</v>
      </c>
      <c r="L934" s="38" t="s">
        <v>21</v>
      </c>
      <c r="M934" s="38" t="s">
        <v>22</v>
      </c>
      <c r="N934" s="4" t="str">
        <f>IF(I934=_xlfn.XLOOKUP(F934,Lists!$D$2:$D$13,Lists!$E$2:$E$13,"Not Found"),"OK","Check Price")</f>
        <v>Check Price</v>
      </c>
    </row>
    <row r="935" spans="1:14" ht="15.5" thickTop="1" thickBot="1" x14ac:dyDescent="0.4">
      <c r="A935" s="36" t="str">
        <f t="shared" si="28"/>
        <v>ORD0934</v>
      </c>
      <c r="B935" s="34">
        <v>45868</v>
      </c>
      <c r="C935" s="37" t="s">
        <v>76</v>
      </c>
      <c r="D935" s="37" t="s">
        <v>51</v>
      </c>
      <c r="E935" s="37" t="s">
        <v>35</v>
      </c>
      <c r="F935" s="37" t="s">
        <v>55</v>
      </c>
      <c r="G935" s="35" t="str">
        <f>_xlfn.XLOOKUP(F935,Lists!$J$2:$J$13,Lists!$K$2:$K$13,"Not Found")</f>
        <v>Office Supplies</v>
      </c>
      <c r="H935" s="37">
        <v>3</v>
      </c>
      <c r="I935" s="35">
        <f>_xlfn.XLOOKUP(F935,Lists!$D$2:$D$13,Lists!$E$2:$E$13,"Not Found")</f>
        <v>1500</v>
      </c>
      <c r="J935" s="47">
        <v>0.1</v>
      </c>
      <c r="K935" s="35">
        <f>H935*I935*(1-J935)</f>
        <v>4050</v>
      </c>
      <c r="L935" s="37" t="s">
        <v>47</v>
      </c>
      <c r="M935" s="37" t="s">
        <v>33</v>
      </c>
      <c r="N935" s="4" t="str">
        <f>IF(I935=_xlfn.XLOOKUP(F935,Lists!$D$2:$D$13,Lists!$E$2:$E$13,"Not Found"),"OK","Check Price")</f>
        <v>OK</v>
      </c>
    </row>
    <row r="936" spans="1:14" ht="15.5" hidden="1" thickTop="1" thickBot="1" x14ac:dyDescent="0.4">
      <c r="A936" s="36" t="str">
        <f t="shared" si="28"/>
        <v>ORD0935</v>
      </c>
      <c r="B936" s="34">
        <v>45902</v>
      </c>
      <c r="C936" s="38" t="s">
        <v>70</v>
      </c>
      <c r="D936" s="38" t="s">
        <v>45</v>
      </c>
      <c r="E936" s="38" t="s">
        <v>80</v>
      </c>
      <c r="F936" s="38" t="s">
        <v>25</v>
      </c>
      <c r="G936" s="38" t="s">
        <v>19</v>
      </c>
      <c r="H936" s="38">
        <v>4</v>
      </c>
      <c r="I936" s="38">
        <v>30000</v>
      </c>
      <c r="J936" s="38">
        <v>0.1</v>
      </c>
      <c r="K936" s="38">
        <f t="shared" si="29"/>
        <v>108000</v>
      </c>
      <c r="L936" s="38" t="s">
        <v>37</v>
      </c>
      <c r="M936" s="38" t="s">
        <v>33</v>
      </c>
      <c r="N936" s="4" t="str">
        <f>IF(I936=_xlfn.XLOOKUP(F936,Lists!$D$2:$D$13,Lists!$E$2:$E$13,"Not Found"),"OK","Check Price")</f>
        <v>OK</v>
      </c>
    </row>
    <row r="937" spans="1:14" ht="15.5" hidden="1" thickTop="1" thickBot="1" x14ac:dyDescent="0.4">
      <c r="A937" s="36" t="str">
        <f t="shared" si="28"/>
        <v>ORD0936</v>
      </c>
      <c r="B937" s="34">
        <v>46010</v>
      </c>
      <c r="C937" s="37" t="s">
        <v>75</v>
      </c>
      <c r="D937" s="37" t="s">
        <v>23</v>
      </c>
      <c r="E937" s="37" t="s">
        <v>35</v>
      </c>
      <c r="F937" s="37" t="s">
        <v>40</v>
      </c>
      <c r="G937" s="37" t="s">
        <v>30</v>
      </c>
      <c r="H937" s="37">
        <v>4</v>
      </c>
      <c r="I937" s="37">
        <v>30000</v>
      </c>
      <c r="J937" s="37">
        <v>0.05</v>
      </c>
      <c r="K937" s="37">
        <f t="shared" si="29"/>
        <v>114000</v>
      </c>
      <c r="L937" s="37" t="s">
        <v>50</v>
      </c>
      <c r="M937" s="37" t="s">
        <v>27</v>
      </c>
      <c r="N937" s="4" t="str">
        <f>IF(I937=_xlfn.XLOOKUP(F937,Lists!$D$2:$D$13,Lists!$E$2:$E$13,"Not Found"),"OK","Check Price")</f>
        <v>Check Price</v>
      </c>
    </row>
    <row r="938" spans="1:14" ht="15.5" hidden="1" thickTop="1" thickBot="1" x14ac:dyDescent="0.4">
      <c r="A938" s="36" t="str">
        <f t="shared" si="28"/>
        <v>ORD0937</v>
      </c>
      <c r="B938" s="34">
        <v>45568</v>
      </c>
      <c r="C938" s="38" t="s">
        <v>75</v>
      </c>
      <c r="D938" s="38" t="s">
        <v>34</v>
      </c>
      <c r="E938" s="38" t="s">
        <v>80</v>
      </c>
      <c r="F938" s="38" t="s">
        <v>25</v>
      </c>
      <c r="G938" s="38" t="s">
        <v>19</v>
      </c>
      <c r="H938" s="38">
        <v>5</v>
      </c>
      <c r="I938" s="38">
        <v>28000</v>
      </c>
      <c r="J938" s="38">
        <v>0.25</v>
      </c>
      <c r="K938" s="38">
        <f t="shared" si="29"/>
        <v>105000</v>
      </c>
      <c r="L938" s="38" t="s">
        <v>47</v>
      </c>
      <c r="M938" s="38" t="s">
        <v>27</v>
      </c>
      <c r="N938" s="4" t="str">
        <f>IF(I938=_xlfn.XLOOKUP(F938,Lists!$D$2:$D$13,Lists!$E$2:$E$13,"Not Found"),"OK","Check Price")</f>
        <v>Check Price</v>
      </c>
    </row>
    <row r="939" spans="1:14" ht="15.5" hidden="1" thickTop="1" thickBot="1" x14ac:dyDescent="0.4">
      <c r="A939" s="36" t="str">
        <f t="shared" si="28"/>
        <v>ORD0938</v>
      </c>
      <c r="B939" s="34">
        <v>45870</v>
      </c>
      <c r="C939" s="37" t="s">
        <v>78</v>
      </c>
      <c r="D939" s="37" t="s">
        <v>51</v>
      </c>
      <c r="E939" s="37" t="s">
        <v>80</v>
      </c>
      <c r="F939" s="37" t="s">
        <v>58</v>
      </c>
      <c r="G939" s="37" t="s">
        <v>19</v>
      </c>
      <c r="H939" s="37">
        <v>4</v>
      </c>
      <c r="I939" s="37">
        <v>1200</v>
      </c>
      <c r="J939" s="37">
        <v>0.15</v>
      </c>
      <c r="K939" s="37">
        <f t="shared" si="29"/>
        <v>4080</v>
      </c>
      <c r="L939" s="37" t="s">
        <v>37</v>
      </c>
      <c r="M939" s="37" t="s">
        <v>33</v>
      </c>
      <c r="N939" s="4" t="str">
        <f>IF(I939=_xlfn.XLOOKUP(F939,Lists!$D$2:$D$13,Lists!$E$2:$E$13,"Not Found"),"OK","Check Price")</f>
        <v>Check Price</v>
      </c>
    </row>
    <row r="940" spans="1:14" ht="15.5" thickTop="1" thickBot="1" x14ac:dyDescent="0.4">
      <c r="A940" s="36" t="str">
        <f t="shared" si="28"/>
        <v>ORD0939</v>
      </c>
      <c r="B940" s="34">
        <v>45603</v>
      </c>
      <c r="C940" s="38" t="s">
        <v>63</v>
      </c>
      <c r="D940" s="38" t="s">
        <v>48</v>
      </c>
      <c r="E940" s="38" t="s">
        <v>119</v>
      </c>
      <c r="F940" s="38" t="s">
        <v>46</v>
      </c>
      <c r="G940" s="35" t="str">
        <f>_xlfn.XLOOKUP(F940,Lists!$J$2:$J$13,Lists!$K$2:$K$13,"Not Found")</f>
        <v>Furniture</v>
      </c>
      <c r="H940" s="38">
        <v>2</v>
      </c>
      <c r="I940" s="35">
        <f>_xlfn.XLOOKUP(F940,Lists!$D$2:$D$13,Lists!$E$2:$E$13,"Not Found")</f>
        <v>22000</v>
      </c>
      <c r="J940" s="48">
        <v>0.1</v>
      </c>
      <c r="K940" s="35">
        <f>H940*I940*(1-J940)</f>
        <v>39600</v>
      </c>
      <c r="L940" s="38" t="s">
        <v>26</v>
      </c>
      <c r="M940" s="38" t="s">
        <v>33</v>
      </c>
      <c r="N940" s="4" t="str">
        <f>IF(I940=_xlfn.XLOOKUP(F940,Lists!$D$2:$D$13,Lists!$E$2:$E$13,"Not Found"),"OK","Check Price")</f>
        <v>OK</v>
      </c>
    </row>
    <row r="941" spans="1:14" ht="15.5" hidden="1" thickTop="1" thickBot="1" x14ac:dyDescent="0.4">
      <c r="A941" s="36" t="str">
        <f t="shared" si="28"/>
        <v>ORD0940</v>
      </c>
      <c r="B941" s="34">
        <v>45523</v>
      </c>
      <c r="C941" s="37" t="s">
        <v>62</v>
      </c>
      <c r="D941" s="37" t="s">
        <v>17</v>
      </c>
      <c r="E941" s="37" t="s">
        <v>18</v>
      </c>
      <c r="F941" s="37" t="s">
        <v>40</v>
      </c>
      <c r="G941" s="37" t="s">
        <v>19</v>
      </c>
      <c r="H941" s="37">
        <v>10</v>
      </c>
      <c r="I941" s="37">
        <v>1500</v>
      </c>
      <c r="J941" s="37">
        <v>0.05</v>
      </c>
      <c r="K941" s="37">
        <f t="shared" si="29"/>
        <v>14250</v>
      </c>
      <c r="L941" s="37" t="s">
        <v>56</v>
      </c>
      <c r="M941" s="37" t="s">
        <v>27</v>
      </c>
      <c r="N941" s="4" t="str">
        <f>IF(I941=_xlfn.XLOOKUP(F941,Lists!$D$2:$D$13,Lists!$E$2:$E$13,"Not Found"),"OK","Check Price")</f>
        <v>Check Price</v>
      </c>
    </row>
    <row r="942" spans="1:14" ht="15.5" hidden="1" thickTop="1" thickBot="1" x14ac:dyDescent="0.4">
      <c r="A942" s="36" t="str">
        <f t="shared" si="28"/>
        <v>ORD0941</v>
      </c>
      <c r="B942" s="34">
        <v>45353</v>
      </c>
      <c r="C942" s="38" t="s">
        <v>70</v>
      </c>
      <c r="D942" s="38" t="s">
        <v>28</v>
      </c>
      <c r="E942" s="38" t="s">
        <v>119</v>
      </c>
      <c r="F942" s="38" t="s">
        <v>43</v>
      </c>
      <c r="G942" s="38" t="s">
        <v>30</v>
      </c>
      <c r="H942" s="38">
        <v>10</v>
      </c>
      <c r="I942" s="38">
        <v>1500</v>
      </c>
      <c r="J942" s="38">
        <v>0.15</v>
      </c>
      <c r="K942" s="38">
        <f t="shared" si="29"/>
        <v>12750</v>
      </c>
      <c r="L942" s="38" t="s">
        <v>21</v>
      </c>
      <c r="M942" s="38" t="s">
        <v>22</v>
      </c>
      <c r="N942" s="4" t="str">
        <f>IF(I942=_xlfn.XLOOKUP(F942,Lists!$D$2:$D$13,Lists!$E$2:$E$13,"Not Found"),"OK","Check Price")</f>
        <v>Check Price</v>
      </c>
    </row>
    <row r="943" spans="1:14" ht="15.5" thickTop="1" thickBot="1" x14ac:dyDescent="0.4">
      <c r="A943" s="36" t="str">
        <f t="shared" si="28"/>
        <v>ORD0942</v>
      </c>
      <c r="B943" s="34">
        <v>45691</v>
      </c>
      <c r="C943" s="37" t="s">
        <v>68</v>
      </c>
      <c r="D943" s="37" t="s">
        <v>17</v>
      </c>
      <c r="E943" s="37" t="s">
        <v>119</v>
      </c>
      <c r="F943" s="37" t="s">
        <v>55</v>
      </c>
      <c r="G943" s="35" t="str">
        <f>_xlfn.XLOOKUP(F943,Lists!$J$2:$J$13,Lists!$K$2:$K$13,"Not Found")</f>
        <v>Office Supplies</v>
      </c>
      <c r="H943" s="37">
        <v>4</v>
      </c>
      <c r="I943" s="35">
        <f>_xlfn.XLOOKUP(F943,Lists!$D$2:$D$13,Lists!$E$2:$E$13,"Not Found")</f>
        <v>1500</v>
      </c>
      <c r="J943" s="47">
        <v>0.1</v>
      </c>
      <c r="K943" s="35">
        <f>H943*I943*(1-J943)</f>
        <v>5400</v>
      </c>
      <c r="L943" s="37" t="s">
        <v>44</v>
      </c>
      <c r="M943" s="37" t="s">
        <v>22</v>
      </c>
      <c r="N943" s="4" t="str">
        <f>IF(I943=_xlfn.XLOOKUP(F943,Lists!$D$2:$D$13,Lists!$E$2:$E$13,"Not Found"),"OK","Check Price")</f>
        <v>OK</v>
      </c>
    </row>
    <row r="944" spans="1:14" ht="15.5" hidden="1" thickTop="1" thickBot="1" x14ac:dyDescent="0.4">
      <c r="A944" s="36" t="str">
        <f t="shared" si="28"/>
        <v>ORD0943</v>
      </c>
      <c r="B944" s="34">
        <v>45349</v>
      </c>
      <c r="C944" s="38" t="s">
        <v>60</v>
      </c>
      <c r="D944" s="38" t="s">
        <v>42</v>
      </c>
      <c r="E944" s="38" t="s">
        <v>119</v>
      </c>
      <c r="F944" s="38" t="s">
        <v>49</v>
      </c>
      <c r="G944" s="38" t="s">
        <v>30</v>
      </c>
      <c r="H944" s="38">
        <v>3</v>
      </c>
      <c r="I944" s="38">
        <v>28000</v>
      </c>
      <c r="J944" s="38">
        <v>0.2</v>
      </c>
      <c r="K944" s="38">
        <f t="shared" si="29"/>
        <v>67200</v>
      </c>
      <c r="L944" s="38" t="s">
        <v>32</v>
      </c>
      <c r="M944" s="38" t="s">
        <v>22</v>
      </c>
      <c r="N944" s="4" t="str">
        <f>IF(I944=_xlfn.XLOOKUP(F944,Lists!$D$2:$D$13,Lists!$E$2:$E$13,"Not Found"),"OK","Check Price")</f>
        <v>Check Price</v>
      </c>
    </row>
    <row r="945" spans="1:14" ht="15.5" thickTop="1" thickBot="1" x14ac:dyDescent="0.4">
      <c r="A945" s="36" t="str">
        <f t="shared" si="28"/>
        <v>ORD0944</v>
      </c>
      <c r="B945" s="34">
        <v>45872</v>
      </c>
      <c r="C945" s="37" t="s">
        <v>65</v>
      </c>
      <c r="D945" s="37" t="s">
        <v>51</v>
      </c>
      <c r="E945" s="37" t="s">
        <v>35</v>
      </c>
      <c r="F945" s="37" t="s">
        <v>46</v>
      </c>
      <c r="G945" s="35" t="str">
        <f>_xlfn.XLOOKUP(F945,Lists!$J$2:$J$13,Lists!$K$2:$K$13,"Not Found")</f>
        <v>Furniture</v>
      </c>
      <c r="H945" s="37">
        <v>5</v>
      </c>
      <c r="I945" s="35">
        <f>_xlfn.XLOOKUP(F945,Lists!$D$2:$D$13,Lists!$E$2:$E$13,"Not Found")</f>
        <v>22000</v>
      </c>
      <c r="J945" s="47">
        <v>0.2</v>
      </c>
      <c r="K945" s="35">
        <f>H945*I945*(1-J945)</f>
        <v>88000</v>
      </c>
      <c r="L945" s="37" t="s">
        <v>50</v>
      </c>
      <c r="M945" s="37" t="s">
        <v>33</v>
      </c>
      <c r="N945" s="4" t="str">
        <f>IF(I945=_xlfn.XLOOKUP(F945,Lists!$D$2:$D$13,Lists!$E$2:$E$13,"Not Found"),"OK","Check Price")</f>
        <v>OK</v>
      </c>
    </row>
    <row r="946" spans="1:14" ht="15.5" hidden="1" thickTop="1" thickBot="1" x14ac:dyDescent="0.4">
      <c r="A946" s="36" t="str">
        <f t="shared" si="28"/>
        <v>ORD0945</v>
      </c>
      <c r="B946" s="34">
        <v>45541</v>
      </c>
      <c r="C946" s="38" t="s">
        <v>69</v>
      </c>
      <c r="D946" s="38" t="s">
        <v>39</v>
      </c>
      <c r="E946" s="38" t="s">
        <v>29</v>
      </c>
      <c r="F946" s="38" t="s">
        <v>31</v>
      </c>
      <c r="G946" s="38" t="s">
        <v>24</v>
      </c>
      <c r="H946" s="38">
        <v>8</v>
      </c>
      <c r="I946" s="38">
        <v>12000</v>
      </c>
      <c r="J946" s="38">
        <v>0.1</v>
      </c>
      <c r="K946" s="38">
        <f t="shared" si="29"/>
        <v>86400</v>
      </c>
      <c r="L946" s="38" t="s">
        <v>56</v>
      </c>
      <c r="M946" s="38" t="s">
        <v>22</v>
      </c>
      <c r="N946" s="4" t="str">
        <f>IF(I946=_xlfn.XLOOKUP(F946,Lists!$D$2:$D$13,Lists!$E$2:$E$13,"Not Found"),"OK","Check Price")</f>
        <v>Check Price</v>
      </c>
    </row>
    <row r="947" spans="1:14" ht="15.5" thickTop="1" thickBot="1" x14ac:dyDescent="0.4">
      <c r="A947" s="36" t="str">
        <f t="shared" si="28"/>
        <v>ORD0946</v>
      </c>
      <c r="B947" s="34">
        <v>45506</v>
      </c>
      <c r="C947" s="37" t="s">
        <v>75</v>
      </c>
      <c r="D947" s="37" t="s">
        <v>54</v>
      </c>
      <c r="E947" s="37" t="s">
        <v>119</v>
      </c>
      <c r="F947" s="37" t="s">
        <v>20</v>
      </c>
      <c r="G947" s="35" t="str">
        <f>_xlfn.XLOOKUP(F947,Lists!$J$2:$J$13,Lists!$K$2:$K$13,"Not Found")</f>
        <v>Electronics</v>
      </c>
      <c r="H947" s="37">
        <v>10</v>
      </c>
      <c r="I947" s="35">
        <f>_xlfn.XLOOKUP(F947,Lists!$D$2:$D$13,Lists!$E$2:$E$13,"Not Found")</f>
        <v>85000</v>
      </c>
      <c r="J947" s="47">
        <v>0.05</v>
      </c>
      <c r="K947" s="35">
        <f>H947*I947*(1-J947)</f>
        <v>807500</v>
      </c>
      <c r="L947" s="37" t="s">
        <v>53</v>
      </c>
      <c r="M947" s="37" t="s">
        <v>38</v>
      </c>
      <c r="N947" s="4" t="str">
        <f>IF(I947=_xlfn.XLOOKUP(F947,Lists!$D$2:$D$13,Lists!$E$2:$E$13,"Not Found"),"OK","Check Price")</f>
        <v>OK</v>
      </c>
    </row>
    <row r="948" spans="1:14" ht="15.5" hidden="1" thickTop="1" thickBot="1" x14ac:dyDescent="0.4">
      <c r="A948" s="36" t="str">
        <f t="shared" si="28"/>
        <v>ORD0947</v>
      </c>
      <c r="B948" s="34">
        <v>45842</v>
      </c>
      <c r="C948" s="38" t="s">
        <v>68</v>
      </c>
      <c r="D948" s="38" t="s">
        <v>51</v>
      </c>
      <c r="E948" s="38" t="s">
        <v>18</v>
      </c>
      <c r="F948" s="38" t="s">
        <v>52</v>
      </c>
      <c r="G948" s="38" t="s">
        <v>19</v>
      </c>
      <c r="H948" s="38">
        <v>7</v>
      </c>
      <c r="I948" s="38">
        <v>85000</v>
      </c>
      <c r="J948" s="38">
        <v>0.1</v>
      </c>
      <c r="K948" s="38">
        <f t="shared" si="29"/>
        <v>535500</v>
      </c>
      <c r="L948" s="38" t="s">
        <v>41</v>
      </c>
      <c r="M948" s="38" t="s">
        <v>33</v>
      </c>
      <c r="N948" s="4" t="str">
        <f>IF(I948=_xlfn.XLOOKUP(F948,Lists!$D$2:$D$13,Lists!$E$2:$E$13,"Not Found"),"OK","Check Price")</f>
        <v>Check Price</v>
      </c>
    </row>
    <row r="949" spans="1:14" ht="15.5" thickTop="1" thickBot="1" x14ac:dyDescent="0.4">
      <c r="A949" s="36" t="str">
        <f t="shared" si="28"/>
        <v>ORD0948</v>
      </c>
      <c r="B949" s="34">
        <v>45969</v>
      </c>
      <c r="C949" s="37" t="s">
        <v>62</v>
      </c>
      <c r="D949" s="37" t="s">
        <v>34</v>
      </c>
      <c r="E949" s="37" t="s">
        <v>18</v>
      </c>
      <c r="F949" s="37" t="s">
        <v>20</v>
      </c>
      <c r="G949" s="35" t="str">
        <f>_xlfn.XLOOKUP(F949,Lists!$J$2:$J$13,Lists!$K$2:$K$13,"Not Found")</f>
        <v>Electronics</v>
      </c>
      <c r="H949" s="37">
        <v>8</v>
      </c>
      <c r="I949" s="35">
        <f>_xlfn.XLOOKUP(F949,Lists!$D$2:$D$13,Lists!$E$2:$E$13,"Not Found")</f>
        <v>85000</v>
      </c>
      <c r="J949" s="47">
        <v>0.2</v>
      </c>
      <c r="K949" s="35">
        <f>H949*I949*(1-J949)</f>
        <v>544000</v>
      </c>
      <c r="L949" s="37" t="s">
        <v>21</v>
      </c>
      <c r="M949" s="37" t="s">
        <v>33</v>
      </c>
      <c r="N949" s="4" t="str">
        <f>IF(I949=_xlfn.XLOOKUP(F949,Lists!$D$2:$D$13,Lists!$E$2:$E$13,"Not Found"),"OK","Check Price")</f>
        <v>OK</v>
      </c>
    </row>
    <row r="950" spans="1:14" ht="15.5" hidden="1" thickTop="1" thickBot="1" x14ac:dyDescent="0.4">
      <c r="A950" s="36" t="str">
        <f t="shared" si="28"/>
        <v>ORD0949</v>
      </c>
      <c r="B950" s="34">
        <v>45614</v>
      </c>
      <c r="C950" s="38" t="s">
        <v>76</v>
      </c>
      <c r="D950" s="38" t="s">
        <v>45</v>
      </c>
      <c r="E950" s="38" t="s">
        <v>35</v>
      </c>
      <c r="F950" s="38" t="s">
        <v>52</v>
      </c>
      <c r="G950" s="38" t="s">
        <v>19</v>
      </c>
      <c r="H950" s="38">
        <v>5</v>
      </c>
      <c r="I950" s="38">
        <v>1200</v>
      </c>
      <c r="J950" s="38">
        <v>0.2</v>
      </c>
      <c r="K950" s="38">
        <f t="shared" si="29"/>
        <v>4800</v>
      </c>
      <c r="L950" s="38" t="s">
        <v>53</v>
      </c>
      <c r="M950" s="38" t="s">
        <v>27</v>
      </c>
      <c r="N950" s="4" t="str">
        <f>IF(I950=_xlfn.XLOOKUP(F950,Lists!$D$2:$D$13,Lists!$E$2:$E$13,"Not Found"),"OK","Check Price")</f>
        <v>OK</v>
      </c>
    </row>
    <row r="951" spans="1:14" ht="15.5" hidden="1" thickTop="1" thickBot="1" x14ac:dyDescent="0.4">
      <c r="A951" s="36" t="str">
        <f t="shared" si="28"/>
        <v>ORD0950</v>
      </c>
      <c r="B951" s="34">
        <v>45972</v>
      </c>
      <c r="C951" s="37" t="s">
        <v>64</v>
      </c>
      <c r="D951" s="37" t="s">
        <v>42</v>
      </c>
      <c r="E951" s="37" t="s">
        <v>80</v>
      </c>
      <c r="F951" s="37" t="s">
        <v>52</v>
      </c>
      <c r="G951" s="37" t="s">
        <v>30</v>
      </c>
      <c r="H951" s="37">
        <v>7</v>
      </c>
      <c r="I951" s="37">
        <v>28000</v>
      </c>
      <c r="J951" s="37">
        <v>0.15</v>
      </c>
      <c r="K951" s="37">
        <f t="shared" si="29"/>
        <v>166600</v>
      </c>
      <c r="L951" s="37" t="s">
        <v>50</v>
      </c>
      <c r="M951" s="37" t="s">
        <v>33</v>
      </c>
      <c r="N951" s="4" t="str">
        <f>IF(I951=_xlfn.XLOOKUP(F951,Lists!$D$2:$D$13,Lists!$E$2:$E$13,"Not Found"),"OK","Check Price")</f>
        <v>Check Price</v>
      </c>
    </row>
    <row r="952" spans="1:14" ht="15.5" thickTop="1" thickBot="1" x14ac:dyDescent="0.4">
      <c r="A952" s="36" t="str">
        <f t="shared" si="28"/>
        <v>ORD0951</v>
      </c>
      <c r="B952" s="34">
        <v>45700</v>
      </c>
      <c r="C952" s="38" t="s">
        <v>74</v>
      </c>
      <c r="D952" s="38" t="s">
        <v>39</v>
      </c>
      <c r="E952" s="38" t="s">
        <v>35</v>
      </c>
      <c r="F952" s="38" t="s">
        <v>55</v>
      </c>
      <c r="G952" s="35" t="str">
        <f>_xlfn.XLOOKUP(F952,Lists!$J$2:$J$13,Lists!$K$2:$K$13,"Not Found")</f>
        <v>Office Supplies</v>
      </c>
      <c r="H952" s="38">
        <v>6</v>
      </c>
      <c r="I952" s="35">
        <f>_xlfn.XLOOKUP(F952,Lists!$D$2:$D$13,Lists!$E$2:$E$13,"Not Found")</f>
        <v>1500</v>
      </c>
      <c r="J952" s="48">
        <v>0.15</v>
      </c>
      <c r="K952" s="35">
        <f>H952*I952*(1-J952)</f>
        <v>7650</v>
      </c>
      <c r="L952" s="38" t="s">
        <v>26</v>
      </c>
      <c r="M952" s="38" t="s">
        <v>22</v>
      </c>
      <c r="N952" s="4" t="str">
        <f>IF(I952=_xlfn.XLOOKUP(F952,Lists!$D$2:$D$13,Lists!$E$2:$E$13,"Not Found"),"OK","Check Price")</f>
        <v>OK</v>
      </c>
    </row>
    <row r="953" spans="1:14" ht="15.5" hidden="1" thickTop="1" thickBot="1" x14ac:dyDescent="0.4">
      <c r="A953" s="36" t="str">
        <f t="shared" si="28"/>
        <v>ORD0952</v>
      </c>
      <c r="B953" s="34">
        <v>45841</v>
      </c>
      <c r="C953" s="37" t="s">
        <v>68</v>
      </c>
      <c r="D953" s="37" t="s">
        <v>39</v>
      </c>
      <c r="E953" s="37" t="s">
        <v>18</v>
      </c>
      <c r="F953" s="37" t="s">
        <v>57</v>
      </c>
      <c r="G953" s="37" t="s">
        <v>19</v>
      </c>
      <c r="H953" s="37">
        <v>1</v>
      </c>
      <c r="I953" s="37">
        <v>30000</v>
      </c>
      <c r="J953" s="37">
        <v>0.2</v>
      </c>
      <c r="K953" s="37">
        <f t="shared" si="29"/>
        <v>24000</v>
      </c>
      <c r="L953" s="37" t="s">
        <v>56</v>
      </c>
      <c r="M953" s="37" t="s">
        <v>22</v>
      </c>
      <c r="N953" s="4" t="str">
        <f>IF(I953=_xlfn.XLOOKUP(F953,Lists!$D$2:$D$13,Lists!$E$2:$E$13,"Not Found"),"OK","Check Price")</f>
        <v>Check Price</v>
      </c>
    </row>
    <row r="954" spans="1:14" ht="15.5" hidden="1" thickTop="1" thickBot="1" x14ac:dyDescent="0.4">
      <c r="A954" s="36" t="str">
        <f t="shared" si="28"/>
        <v>ORD0953</v>
      </c>
      <c r="B954" s="34">
        <v>45501</v>
      </c>
      <c r="C954" s="38" t="s">
        <v>61</v>
      </c>
      <c r="D954" s="38" t="s">
        <v>17</v>
      </c>
      <c r="E954" s="38" t="s">
        <v>119</v>
      </c>
      <c r="F954" s="38" t="s">
        <v>36</v>
      </c>
      <c r="G954" s="38" t="s">
        <v>19</v>
      </c>
      <c r="H954" s="38">
        <v>3</v>
      </c>
      <c r="I954" s="38">
        <v>1500</v>
      </c>
      <c r="J954" s="38">
        <v>0.15</v>
      </c>
      <c r="K954" s="38">
        <f t="shared" si="29"/>
        <v>3825</v>
      </c>
      <c r="L954" s="38" t="s">
        <v>44</v>
      </c>
      <c r="M954" s="38" t="s">
        <v>33</v>
      </c>
      <c r="N954" s="4" t="str">
        <f>IF(I954=_xlfn.XLOOKUP(F954,Lists!$D$2:$D$13,Lists!$E$2:$E$13,"Not Found"),"OK","Check Price")</f>
        <v>Check Price</v>
      </c>
    </row>
    <row r="955" spans="1:14" ht="15.5" hidden="1" thickTop="1" thickBot="1" x14ac:dyDescent="0.4">
      <c r="A955" s="36" t="str">
        <f t="shared" si="28"/>
        <v>ORD0954</v>
      </c>
      <c r="B955" s="34">
        <v>45888</v>
      </c>
      <c r="C955" s="37" t="s">
        <v>74</v>
      </c>
      <c r="D955" s="37" t="s">
        <v>42</v>
      </c>
      <c r="E955" s="37" t="s">
        <v>29</v>
      </c>
      <c r="F955" s="37" t="s">
        <v>49</v>
      </c>
      <c r="G955" s="37" t="s">
        <v>24</v>
      </c>
      <c r="H955" s="37">
        <v>6</v>
      </c>
      <c r="I955" s="37">
        <v>1200</v>
      </c>
      <c r="J955" s="37">
        <v>0.2</v>
      </c>
      <c r="K955" s="37">
        <f t="shared" si="29"/>
        <v>5760</v>
      </c>
      <c r="L955" s="37" t="s">
        <v>50</v>
      </c>
      <c r="M955" s="37" t="s">
        <v>33</v>
      </c>
      <c r="N955" s="4" t="str">
        <f>IF(I955=_xlfn.XLOOKUP(F955,Lists!$D$2:$D$13,Lists!$E$2:$E$13,"Not Found"),"OK","Check Price")</f>
        <v>Check Price</v>
      </c>
    </row>
    <row r="956" spans="1:14" ht="15.5" hidden="1" thickTop="1" thickBot="1" x14ac:dyDescent="0.4">
      <c r="A956" s="36" t="str">
        <f t="shared" si="28"/>
        <v>ORD0955</v>
      </c>
      <c r="B956" s="34">
        <v>45517</v>
      </c>
      <c r="C956" s="38" t="s">
        <v>77</v>
      </c>
      <c r="D956" s="38" t="s">
        <v>28</v>
      </c>
      <c r="E956" s="38" t="s">
        <v>80</v>
      </c>
      <c r="F956" s="38" t="s">
        <v>57</v>
      </c>
      <c r="G956" s="38" t="s">
        <v>24</v>
      </c>
      <c r="H956" s="38">
        <v>9</v>
      </c>
      <c r="I956" s="38">
        <v>30000</v>
      </c>
      <c r="J956" s="38">
        <v>0.1</v>
      </c>
      <c r="K956" s="38">
        <f t="shared" si="29"/>
        <v>243000</v>
      </c>
      <c r="L956" s="38" t="s">
        <v>41</v>
      </c>
      <c r="M956" s="38" t="s">
        <v>22</v>
      </c>
      <c r="N956" s="4" t="str">
        <f>IF(I956=_xlfn.XLOOKUP(F956,Lists!$D$2:$D$13,Lists!$E$2:$E$13,"Not Found"),"OK","Check Price")</f>
        <v>Check Price</v>
      </c>
    </row>
    <row r="957" spans="1:14" ht="15.5" hidden="1" thickTop="1" thickBot="1" x14ac:dyDescent="0.4">
      <c r="A957" s="36" t="str">
        <f t="shared" si="28"/>
        <v>ORD0956</v>
      </c>
      <c r="B957" s="34">
        <v>46009</v>
      </c>
      <c r="C957" s="37" t="s">
        <v>60</v>
      </c>
      <c r="D957" s="37" t="s">
        <v>42</v>
      </c>
      <c r="E957" s="37" t="s">
        <v>29</v>
      </c>
      <c r="F957" s="37" t="s">
        <v>57</v>
      </c>
      <c r="G957" s="37" t="s">
        <v>30</v>
      </c>
      <c r="H957" s="37">
        <v>9</v>
      </c>
      <c r="I957" s="37">
        <v>22000</v>
      </c>
      <c r="J957" s="37">
        <v>0.1</v>
      </c>
      <c r="K957" s="37">
        <f t="shared" si="29"/>
        <v>178200</v>
      </c>
      <c r="L957" s="37" t="s">
        <v>21</v>
      </c>
      <c r="M957" s="37" t="s">
        <v>27</v>
      </c>
      <c r="N957" s="4" t="str">
        <f>IF(I957=_xlfn.XLOOKUP(F957,Lists!$D$2:$D$13,Lists!$E$2:$E$13,"Not Found"),"OK","Check Price")</f>
        <v>Check Price</v>
      </c>
    </row>
    <row r="958" spans="1:14" ht="15.5" hidden="1" thickTop="1" thickBot="1" x14ac:dyDescent="0.4">
      <c r="A958" s="36" t="str">
        <f t="shared" si="28"/>
        <v>ORD0957</v>
      </c>
      <c r="B958" s="34">
        <v>45293</v>
      </c>
      <c r="C958" s="38" t="s">
        <v>68</v>
      </c>
      <c r="D958" s="38" t="s">
        <v>39</v>
      </c>
      <c r="E958" s="38" t="s">
        <v>18</v>
      </c>
      <c r="F958" s="38" t="s">
        <v>25</v>
      </c>
      <c r="G958" s="38" t="s">
        <v>19</v>
      </c>
      <c r="H958" s="38">
        <v>3</v>
      </c>
      <c r="I958" s="38">
        <v>28000</v>
      </c>
      <c r="J958" s="38">
        <v>0.05</v>
      </c>
      <c r="K958" s="38">
        <f t="shared" si="29"/>
        <v>79800</v>
      </c>
      <c r="L958" s="38" t="s">
        <v>32</v>
      </c>
      <c r="M958" s="38" t="s">
        <v>33</v>
      </c>
      <c r="N958" s="4" t="str">
        <f>IF(I958=_xlfn.XLOOKUP(F958,Lists!$D$2:$D$13,Lists!$E$2:$E$13,"Not Found"),"OK","Check Price")</f>
        <v>Check Price</v>
      </c>
    </row>
    <row r="959" spans="1:14" ht="15.5" thickTop="1" thickBot="1" x14ac:dyDescent="0.4">
      <c r="A959" s="36" t="str">
        <f t="shared" si="28"/>
        <v>ORD0958</v>
      </c>
      <c r="B959" s="34">
        <v>45502</v>
      </c>
      <c r="C959" s="37" t="s">
        <v>61</v>
      </c>
      <c r="D959" s="37" t="s">
        <v>23</v>
      </c>
      <c r="E959" s="37" t="s">
        <v>80</v>
      </c>
      <c r="F959" s="37" t="s">
        <v>55</v>
      </c>
      <c r="G959" s="35" t="str">
        <f>_xlfn.XLOOKUP(F959,Lists!$J$2:$J$13,Lists!$K$2:$K$13,"Not Found")</f>
        <v>Office Supplies</v>
      </c>
      <c r="H959" s="37">
        <v>3</v>
      </c>
      <c r="I959" s="35">
        <f>_xlfn.XLOOKUP(F959,Lists!$D$2:$D$13,Lists!$E$2:$E$13,"Not Found")</f>
        <v>1500</v>
      </c>
      <c r="J959" s="47">
        <v>0.05</v>
      </c>
      <c r="K959" s="35">
        <f>H959*I959*(1-J959)</f>
        <v>4275</v>
      </c>
      <c r="L959" s="37" t="s">
        <v>44</v>
      </c>
      <c r="M959" s="37" t="s">
        <v>27</v>
      </c>
      <c r="N959" s="4" t="str">
        <f>IF(I959=_xlfn.XLOOKUP(F959,Lists!$D$2:$D$13,Lists!$E$2:$E$13,"Not Found"),"OK","Check Price")</f>
        <v>OK</v>
      </c>
    </row>
    <row r="960" spans="1:14" ht="15.5" hidden="1" thickTop="1" thickBot="1" x14ac:dyDescent="0.4">
      <c r="A960" s="36" t="str">
        <f t="shared" si="28"/>
        <v>ORD0959</v>
      </c>
      <c r="B960" s="34">
        <v>45387</v>
      </c>
      <c r="C960" s="38" t="s">
        <v>75</v>
      </c>
      <c r="D960" s="38" t="s">
        <v>45</v>
      </c>
      <c r="E960" s="38" t="s">
        <v>80</v>
      </c>
      <c r="F960" s="38" t="s">
        <v>43</v>
      </c>
      <c r="G960" s="38" t="s">
        <v>19</v>
      </c>
      <c r="H960" s="38">
        <v>1</v>
      </c>
      <c r="I960" s="38">
        <v>12000</v>
      </c>
      <c r="J960" s="38">
        <v>0.2</v>
      </c>
      <c r="K960" s="38">
        <f t="shared" si="29"/>
        <v>9600</v>
      </c>
      <c r="L960" s="38" t="s">
        <v>26</v>
      </c>
      <c r="M960" s="38" t="s">
        <v>27</v>
      </c>
      <c r="N960" s="4" t="str">
        <f>IF(I960=_xlfn.XLOOKUP(F960,Lists!$D$2:$D$13,Lists!$E$2:$E$13,"Not Found"),"OK","Check Price")</f>
        <v>OK</v>
      </c>
    </row>
    <row r="961" spans="1:14" ht="15.5" hidden="1" thickTop="1" thickBot="1" x14ac:dyDescent="0.4">
      <c r="A961" s="36" t="str">
        <f t="shared" si="28"/>
        <v>ORD0960</v>
      </c>
      <c r="B961" s="34">
        <v>45853</v>
      </c>
      <c r="C961" s="37" t="s">
        <v>67</v>
      </c>
      <c r="D961" s="37" t="s">
        <v>17</v>
      </c>
      <c r="E961" s="37" t="s">
        <v>119</v>
      </c>
      <c r="F961" s="37" t="s">
        <v>36</v>
      </c>
      <c r="G961" s="37" t="s">
        <v>19</v>
      </c>
      <c r="H961" s="37">
        <v>9</v>
      </c>
      <c r="I961" s="37">
        <v>4000</v>
      </c>
      <c r="J961" s="37">
        <v>0.15</v>
      </c>
      <c r="K961" s="37">
        <f t="shared" si="29"/>
        <v>30600</v>
      </c>
      <c r="L961" s="37" t="s">
        <v>32</v>
      </c>
      <c r="M961" s="37" t="s">
        <v>27</v>
      </c>
      <c r="N961" s="4" t="str">
        <f>IF(I961=_xlfn.XLOOKUP(F961,Lists!$D$2:$D$13,Lists!$E$2:$E$13,"Not Found"),"OK","Check Price")</f>
        <v>Check Price</v>
      </c>
    </row>
    <row r="962" spans="1:14" ht="15.5" hidden="1" thickTop="1" thickBot="1" x14ac:dyDescent="0.4">
      <c r="A962" s="36" t="str">
        <f t="shared" si="28"/>
        <v>ORD0961</v>
      </c>
      <c r="B962" s="34">
        <v>46021</v>
      </c>
      <c r="C962" s="38" t="s">
        <v>69</v>
      </c>
      <c r="D962" s="38" t="s">
        <v>17</v>
      </c>
      <c r="E962" s="38" t="s">
        <v>29</v>
      </c>
      <c r="F962" s="38" t="s">
        <v>49</v>
      </c>
      <c r="G962" s="38" t="s">
        <v>24</v>
      </c>
      <c r="H962" s="38">
        <v>9</v>
      </c>
      <c r="I962" s="38">
        <v>85000</v>
      </c>
      <c r="J962" s="38">
        <v>0.15</v>
      </c>
      <c r="K962" s="38">
        <f t="shared" si="29"/>
        <v>650250</v>
      </c>
      <c r="L962" s="38" t="s">
        <v>37</v>
      </c>
      <c r="M962" s="38" t="s">
        <v>33</v>
      </c>
      <c r="N962" s="4" t="str">
        <f>IF(I962=_xlfn.XLOOKUP(F962,Lists!$D$2:$D$13,Lists!$E$2:$E$13,"Not Found"),"OK","Check Price")</f>
        <v>Check Price</v>
      </c>
    </row>
    <row r="963" spans="1:14" ht="15.5" hidden="1" thickTop="1" thickBot="1" x14ac:dyDescent="0.4">
      <c r="A963" s="36" t="str">
        <f t="shared" ref="A963:A1001" si="30">"ORD"&amp;TEXT(ROW()-1,"0000")</f>
        <v>ORD0962</v>
      </c>
      <c r="B963" s="34">
        <v>45998</v>
      </c>
      <c r="C963" s="37" t="s">
        <v>60</v>
      </c>
      <c r="D963" s="37" t="s">
        <v>51</v>
      </c>
      <c r="E963" s="37" t="s">
        <v>80</v>
      </c>
      <c r="F963" s="37" t="s">
        <v>31</v>
      </c>
      <c r="G963" s="37" t="s">
        <v>24</v>
      </c>
      <c r="H963" s="37">
        <v>4</v>
      </c>
      <c r="I963" s="37">
        <v>30000</v>
      </c>
      <c r="J963" s="37">
        <v>0.25</v>
      </c>
      <c r="K963" s="37">
        <f t="shared" ref="K963:K1001" si="31">H963*I963*(1-J963)</f>
        <v>90000</v>
      </c>
      <c r="L963" s="37" t="s">
        <v>32</v>
      </c>
      <c r="M963" s="37" t="s">
        <v>22</v>
      </c>
      <c r="N963" s="4" t="str">
        <f>IF(I963=_xlfn.XLOOKUP(F963,Lists!$D$2:$D$13,Lists!$E$2:$E$13,"Not Found"),"OK","Check Price")</f>
        <v>Check Price</v>
      </c>
    </row>
    <row r="964" spans="1:14" ht="15.5" thickTop="1" thickBot="1" x14ac:dyDescent="0.4">
      <c r="A964" s="36" t="str">
        <f t="shared" si="30"/>
        <v>ORD0963</v>
      </c>
      <c r="B964" s="34">
        <v>45679</v>
      </c>
      <c r="C964" s="38" t="s">
        <v>78</v>
      </c>
      <c r="D964" s="38" t="s">
        <v>34</v>
      </c>
      <c r="E964" s="38" t="s">
        <v>18</v>
      </c>
      <c r="F964" s="38" t="s">
        <v>55</v>
      </c>
      <c r="G964" s="35" t="str">
        <f>_xlfn.XLOOKUP(F964,Lists!$J$2:$J$13,Lists!$K$2:$K$13,"Not Found")</f>
        <v>Office Supplies</v>
      </c>
      <c r="H964" s="38">
        <v>8</v>
      </c>
      <c r="I964" s="35">
        <f>_xlfn.XLOOKUP(F964,Lists!$D$2:$D$13,Lists!$E$2:$E$13,"Not Found")</f>
        <v>1500</v>
      </c>
      <c r="J964" s="48">
        <v>0.05</v>
      </c>
      <c r="K964" s="35">
        <f>H964*I964*(1-J964)</f>
        <v>11400</v>
      </c>
      <c r="L964" s="38" t="s">
        <v>26</v>
      </c>
      <c r="M964" s="38" t="s">
        <v>27</v>
      </c>
      <c r="N964" s="4" t="str">
        <f>IF(I964=_xlfn.XLOOKUP(F964,Lists!$D$2:$D$13,Lists!$E$2:$E$13,"Not Found"),"OK","Check Price")</f>
        <v>OK</v>
      </c>
    </row>
    <row r="965" spans="1:14" ht="15.5" hidden="1" thickTop="1" thickBot="1" x14ac:dyDescent="0.4">
      <c r="A965" s="36" t="str">
        <f t="shared" si="30"/>
        <v>ORD0964</v>
      </c>
      <c r="B965" s="34">
        <v>45424</v>
      </c>
      <c r="C965" s="37" t="s">
        <v>71</v>
      </c>
      <c r="D965" s="37" t="s">
        <v>28</v>
      </c>
      <c r="E965" s="37" t="s">
        <v>79</v>
      </c>
      <c r="F965" s="37" t="s">
        <v>52</v>
      </c>
      <c r="G965" s="37" t="s">
        <v>19</v>
      </c>
      <c r="H965" s="37">
        <v>8</v>
      </c>
      <c r="I965" s="37">
        <v>1200</v>
      </c>
      <c r="J965" s="37">
        <v>0.15</v>
      </c>
      <c r="K965" s="37">
        <f t="shared" si="31"/>
        <v>8160</v>
      </c>
      <c r="L965" s="37" t="s">
        <v>56</v>
      </c>
      <c r="M965" s="37" t="s">
        <v>27</v>
      </c>
      <c r="N965" s="4" t="str">
        <f>IF(I965=_xlfn.XLOOKUP(F965,Lists!$D$2:$D$13,Lists!$E$2:$E$13,"Not Found"),"OK","Check Price")</f>
        <v>OK</v>
      </c>
    </row>
    <row r="966" spans="1:14" ht="15.5" hidden="1" thickTop="1" thickBot="1" x14ac:dyDescent="0.4">
      <c r="A966" s="36" t="str">
        <f t="shared" si="30"/>
        <v>ORD0965</v>
      </c>
      <c r="B966" s="34">
        <v>45922</v>
      </c>
      <c r="C966" s="38" t="s">
        <v>71</v>
      </c>
      <c r="D966" s="38" t="s">
        <v>34</v>
      </c>
      <c r="E966" s="38" t="s">
        <v>29</v>
      </c>
      <c r="F966" s="38" t="s">
        <v>58</v>
      </c>
      <c r="G966" s="38" t="s">
        <v>24</v>
      </c>
      <c r="H966" s="38">
        <v>3</v>
      </c>
      <c r="I966" s="38">
        <v>30000</v>
      </c>
      <c r="J966" s="38">
        <v>0.05</v>
      </c>
      <c r="K966" s="38">
        <f t="shared" si="31"/>
        <v>85500</v>
      </c>
      <c r="L966" s="38" t="s">
        <v>21</v>
      </c>
      <c r="M966" s="38" t="s">
        <v>27</v>
      </c>
      <c r="N966" s="4" t="str">
        <f>IF(I966=_xlfn.XLOOKUP(F966,Lists!$D$2:$D$13,Lists!$E$2:$E$13,"Not Found"),"OK","Check Price")</f>
        <v>Check Price</v>
      </c>
    </row>
    <row r="967" spans="1:14" ht="15.5" hidden="1" thickTop="1" thickBot="1" x14ac:dyDescent="0.4">
      <c r="A967" s="36" t="str">
        <f t="shared" si="30"/>
        <v>ORD0966</v>
      </c>
      <c r="B967" s="34">
        <v>45617</v>
      </c>
      <c r="C967" s="37" t="s">
        <v>70</v>
      </c>
      <c r="D967" s="37" t="s">
        <v>39</v>
      </c>
      <c r="E967" s="37" t="s">
        <v>80</v>
      </c>
      <c r="F967" s="37" t="s">
        <v>58</v>
      </c>
      <c r="G967" s="37" t="s">
        <v>30</v>
      </c>
      <c r="H967" s="37">
        <v>8</v>
      </c>
      <c r="I967" s="37">
        <v>22000</v>
      </c>
      <c r="J967" s="37">
        <v>0.05</v>
      </c>
      <c r="K967" s="37">
        <f t="shared" si="31"/>
        <v>167200</v>
      </c>
      <c r="L967" s="37" t="s">
        <v>47</v>
      </c>
      <c r="M967" s="37" t="s">
        <v>22</v>
      </c>
      <c r="N967" s="4" t="str">
        <f>IF(I967=_xlfn.XLOOKUP(F967,Lists!$D$2:$D$13,Lists!$E$2:$E$13,"Not Found"),"OK","Check Price")</f>
        <v>Check Price</v>
      </c>
    </row>
    <row r="968" spans="1:14" ht="15.5" hidden="1" thickTop="1" thickBot="1" x14ac:dyDescent="0.4">
      <c r="A968" s="36" t="str">
        <f t="shared" si="30"/>
        <v>ORD0967</v>
      </c>
      <c r="B968" s="34">
        <v>45517</v>
      </c>
      <c r="C968" s="38" t="s">
        <v>61</v>
      </c>
      <c r="D968" s="38" t="s">
        <v>23</v>
      </c>
      <c r="E968" s="38" t="s">
        <v>79</v>
      </c>
      <c r="F968" s="38" t="s">
        <v>49</v>
      </c>
      <c r="G968" s="38" t="s">
        <v>30</v>
      </c>
      <c r="H968" s="38">
        <v>2</v>
      </c>
      <c r="I968" s="38">
        <v>5000</v>
      </c>
      <c r="J968" s="38">
        <v>0.1</v>
      </c>
      <c r="K968" s="38">
        <f t="shared" si="31"/>
        <v>9000</v>
      </c>
      <c r="L968" s="38" t="s">
        <v>21</v>
      </c>
      <c r="M968" s="38" t="s">
        <v>22</v>
      </c>
      <c r="N968" s="4" t="str">
        <f>IF(I968=_xlfn.XLOOKUP(F968,Lists!$D$2:$D$13,Lists!$E$2:$E$13,"Not Found"),"OK","Check Price")</f>
        <v>Check Price</v>
      </c>
    </row>
    <row r="969" spans="1:14" ht="15.5" hidden="1" thickTop="1" thickBot="1" x14ac:dyDescent="0.4">
      <c r="A969" s="36" t="str">
        <f t="shared" si="30"/>
        <v>ORD0968</v>
      </c>
      <c r="B969" s="34">
        <v>45392</v>
      </c>
      <c r="C969" s="37" t="s">
        <v>67</v>
      </c>
      <c r="D969" s="37" t="s">
        <v>51</v>
      </c>
      <c r="E969" s="37" t="s">
        <v>79</v>
      </c>
      <c r="F969" s="37" t="s">
        <v>40</v>
      </c>
      <c r="G969" s="37" t="s">
        <v>19</v>
      </c>
      <c r="H969" s="37">
        <v>7</v>
      </c>
      <c r="I969" s="37">
        <v>350</v>
      </c>
      <c r="J969" s="37">
        <v>0.1</v>
      </c>
      <c r="K969" s="37">
        <f t="shared" si="31"/>
        <v>2205</v>
      </c>
      <c r="L969" s="37" t="s">
        <v>32</v>
      </c>
      <c r="M969" s="37" t="s">
        <v>33</v>
      </c>
      <c r="N969" s="4" t="str">
        <f>IF(I969=_xlfn.XLOOKUP(F969,Lists!$D$2:$D$13,Lists!$E$2:$E$13,"Not Found"),"OK","Check Price")</f>
        <v>Check Price</v>
      </c>
    </row>
    <row r="970" spans="1:14" ht="15.5" thickTop="1" thickBot="1" x14ac:dyDescent="0.4">
      <c r="A970" s="36" t="str">
        <f t="shared" si="30"/>
        <v>ORD0969</v>
      </c>
      <c r="B970" s="34">
        <v>45805</v>
      </c>
      <c r="C970" s="38" t="s">
        <v>69</v>
      </c>
      <c r="D970" s="38" t="s">
        <v>42</v>
      </c>
      <c r="E970" s="38" t="s">
        <v>80</v>
      </c>
      <c r="F970" s="38" t="s">
        <v>55</v>
      </c>
      <c r="G970" s="35" t="str">
        <f>_xlfn.XLOOKUP(F970,Lists!$J$2:$J$13,Lists!$K$2:$K$13,"Not Found")</f>
        <v>Office Supplies</v>
      </c>
      <c r="H970" s="38">
        <v>2</v>
      </c>
      <c r="I970" s="35">
        <f>_xlfn.XLOOKUP(F970,Lists!$D$2:$D$13,Lists!$E$2:$E$13,"Not Found")</f>
        <v>1500</v>
      </c>
      <c r="J970" s="48">
        <v>0.05</v>
      </c>
      <c r="K970" s="35">
        <f>H970*I970*(1-J970)</f>
        <v>2850</v>
      </c>
      <c r="L970" s="38" t="s">
        <v>32</v>
      </c>
      <c r="M970" s="38" t="s">
        <v>22</v>
      </c>
      <c r="N970" s="4" t="str">
        <f>IF(I970=_xlfn.XLOOKUP(F970,Lists!$D$2:$D$13,Lists!$E$2:$E$13,"Not Found"),"OK","Check Price")</f>
        <v>OK</v>
      </c>
    </row>
    <row r="971" spans="1:14" ht="15.5" hidden="1" thickTop="1" thickBot="1" x14ac:dyDescent="0.4">
      <c r="A971" s="36" t="str">
        <f t="shared" si="30"/>
        <v>ORD0970</v>
      </c>
      <c r="B971" s="34">
        <v>45966</v>
      </c>
      <c r="C971" s="37" t="s">
        <v>68</v>
      </c>
      <c r="D971" s="37" t="s">
        <v>23</v>
      </c>
      <c r="E971" s="37" t="s">
        <v>80</v>
      </c>
      <c r="F971" s="37" t="s">
        <v>57</v>
      </c>
      <c r="G971" s="37" t="s">
        <v>19</v>
      </c>
      <c r="H971" s="37">
        <v>10</v>
      </c>
      <c r="I971" s="37">
        <v>2500</v>
      </c>
      <c r="J971" s="37">
        <v>0.1</v>
      </c>
      <c r="K971" s="37">
        <f t="shared" si="31"/>
        <v>22500</v>
      </c>
      <c r="L971" s="37" t="s">
        <v>32</v>
      </c>
      <c r="M971" s="37" t="s">
        <v>22</v>
      </c>
      <c r="N971" s="4" t="str">
        <f>IF(I971=_xlfn.XLOOKUP(F971,Lists!$D$2:$D$13,Lists!$E$2:$E$13,"Not Found"),"OK","Check Price")</f>
        <v>Check Price</v>
      </c>
    </row>
    <row r="972" spans="1:14" ht="15.5" hidden="1" thickTop="1" thickBot="1" x14ac:dyDescent="0.4">
      <c r="A972" s="36" t="str">
        <f t="shared" si="30"/>
        <v>ORD0971</v>
      </c>
      <c r="B972" s="34">
        <v>45543</v>
      </c>
      <c r="C972" s="38" t="s">
        <v>65</v>
      </c>
      <c r="D972" s="38" t="s">
        <v>51</v>
      </c>
      <c r="E972" s="38" t="s">
        <v>29</v>
      </c>
      <c r="F972" s="38" t="s">
        <v>43</v>
      </c>
      <c r="G972" s="38" t="s">
        <v>30</v>
      </c>
      <c r="H972" s="38">
        <v>3</v>
      </c>
      <c r="I972" s="38">
        <v>30000</v>
      </c>
      <c r="J972" s="38">
        <v>0.25</v>
      </c>
      <c r="K972" s="38">
        <f t="shared" si="31"/>
        <v>67500</v>
      </c>
      <c r="L972" s="38" t="s">
        <v>56</v>
      </c>
      <c r="M972" s="38" t="s">
        <v>22</v>
      </c>
      <c r="N972" s="4" t="str">
        <f>IF(I972=_xlfn.XLOOKUP(F972,Lists!$D$2:$D$13,Lists!$E$2:$E$13,"Not Found"),"OK","Check Price")</f>
        <v>Check Price</v>
      </c>
    </row>
    <row r="973" spans="1:14" ht="15.5" hidden="1" thickTop="1" thickBot="1" x14ac:dyDescent="0.4">
      <c r="A973" s="36" t="str">
        <f t="shared" si="30"/>
        <v>ORD0972</v>
      </c>
      <c r="B973" s="34">
        <v>45371</v>
      </c>
      <c r="C973" s="37" t="s">
        <v>74</v>
      </c>
      <c r="D973" s="37" t="s">
        <v>39</v>
      </c>
      <c r="E973" s="37" t="s">
        <v>35</v>
      </c>
      <c r="F973" s="37" t="s">
        <v>40</v>
      </c>
      <c r="G973" s="37" t="s">
        <v>24</v>
      </c>
      <c r="H973" s="37">
        <v>7</v>
      </c>
      <c r="I973" s="37">
        <v>85000</v>
      </c>
      <c r="J973" s="37">
        <v>0.05</v>
      </c>
      <c r="K973" s="37">
        <f t="shared" si="31"/>
        <v>565250</v>
      </c>
      <c r="L973" s="37" t="s">
        <v>47</v>
      </c>
      <c r="M973" s="37" t="s">
        <v>33</v>
      </c>
      <c r="N973" s="4" t="str">
        <f>IF(I973=_xlfn.XLOOKUP(F973,Lists!$D$2:$D$13,Lists!$E$2:$E$13,"Not Found"),"OK","Check Price")</f>
        <v>Check Price</v>
      </c>
    </row>
    <row r="974" spans="1:14" ht="15.5" hidden="1" thickTop="1" thickBot="1" x14ac:dyDescent="0.4">
      <c r="A974" s="36" t="str">
        <f t="shared" si="30"/>
        <v>ORD0973</v>
      </c>
      <c r="B974" s="34">
        <v>45653</v>
      </c>
      <c r="C974" s="38" t="s">
        <v>60</v>
      </c>
      <c r="D974" s="38" t="s">
        <v>51</v>
      </c>
      <c r="E974" s="38" t="s">
        <v>18</v>
      </c>
      <c r="F974" s="38" t="s">
        <v>49</v>
      </c>
      <c r="G974" s="38" t="s">
        <v>30</v>
      </c>
      <c r="H974" s="38">
        <v>9</v>
      </c>
      <c r="I974" s="38">
        <v>1500</v>
      </c>
      <c r="J974" s="38">
        <v>0.1</v>
      </c>
      <c r="K974" s="38">
        <f t="shared" si="31"/>
        <v>12150</v>
      </c>
      <c r="L974" s="38" t="s">
        <v>47</v>
      </c>
      <c r="M974" s="38" t="s">
        <v>22</v>
      </c>
      <c r="N974" s="4" t="str">
        <f>IF(I974=_xlfn.XLOOKUP(F974,Lists!$D$2:$D$13,Lists!$E$2:$E$13,"Not Found"),"OK","Check Price")</f>
        <v>Check Price</v>
      </c>
    </row>
    <row r="975" spans="1:14" ht="15.5" hidden="1" thickTop="1" thickBot="1" x14ac:dyDescent="0.4">
      <c r="A975" s="36" t="str">
        <f t="shared" si="30"/>
        <v>ORD0974</v>
      </c>
      <c r="B975" s="34">
        <v>45482</v>
      </c>
      <c r="C975" s="37" t="s">
        <v>63</v>
      </c>
      <c r="D975" s="37" t="s">
        <v>17</v>
      </c>
      <c r="E975" s="37" t="s">
        <v>79</v>
      </c>
      <c r="F975" s="37" t="s">
        <v>43</v>
      </c>
      <c r="G975" s="37" t="s">
        <v>19</v>
      </c>
      <c r="H975" s="37">
        <v>9</v>
      </c>
      <c r="I975" s="37">
        <v>12000</v>
      </c>
      <c r="J975" s="37">
        <v>0.15</v>
      </c>
      <c r="K975" s="37">
        <f t="shared" si="31"/>
        <v>91800</v>
      </c>
      <c r="L975" s="37" t="s">
        <v>26</v>
      </c>
      <c r="M975" s="37" t="s">
        <v>33</v>
      </c>
      <c r="N975" s="4" t="str">
        <f>IF(I975=_xlfn.XLOOKUP(F975,Lists!$D$2:$D$13,Lists!$E$2:$E$13,"Not Found"),"OK","Check Price")</f>
        <v>OK</v>
      </c>
    </row>
    <row r="976" spans="1:14" ht="15.5" hidden="1" thickTop="1" thickBot="1" x14ac:dyDescent="0.4">
      <c r="A976" s="36" t="str">
        <f t="shared" si="30"/>
        <v>ORD0975</v>
      </c>
      <c r="B976" s="34">
        <v>45688</v>
      </c>
      <c r="C976" s="38" t="s">
        <v>66</v>
      </c>
      <c r="D976" s="38" t="s">
        <v>17</v>
      </c>
      <c r="E976" s="38" t="s">
        <v>18</v>
      </c>
      <c r="F976" s="38" t="s">
        <v>36</v>
      </c>
      <c r="G976" s="38" t="s">
        <v>19</v>
      </c>
      <c r="H976" s="38">
        <v>7</v>
      </c>
      <c r="I976" s="38">
        <v>22000</v>
      </c>
      <c r="J976" s="38">
        <v>0.1</v>
      </c>
      <c r="K976" s="38">
        <f t="shared" si="31"/>
        <v>138600</v>
      </c>
      <c r="L976" s="38" t="s">
        <v>41</v>
      </c>
      <c r="M976" s="38" t="s">
        <v>27</v>
      </c>
      <c r="N976" s="4" t="str">
        <f>IF(I976=_xlfn.XLOOKUP(F976,Lists!$D$2:$D$13,Lists!$E$2:$E$13,"Not Found"),"OK","Check Price")</f>
        <v>Check Price</v>
      </c>
    </row>
    <row r="977" spans="1:14" ht="15.5" hidden="1" thickTop="1" thickBot="1" x14ac:dyDescent="0.4">
      <c r="A977" s="36" t="str">
        <f t="shared" si="30"/>
        <v>ORD0976</v>
      </c>
      <c r="B977" s="34">
        <v>45862</v>
      </c>
      <c r="C977" s="37" t="s">
        <v>74</v>
      </c>
      <c r="D977" s="37" t="s">
        <v>54</v>
      </c>
      <c r="E977" s="37" t="s">
        <v>35</v>
      </c>
      <c r="F977" s="37" t="s">
        <v>31</v>
      </c>
      <c r="G977" s="37" t="s">
        <v>30</v>
      </c>
      <c r="H977" s="37">
        <v>5</v>
      </c>
      <c r="I977" s="37">
        <v>1500</v>
      </c>
      <c r="J977" s="37">
        <v>0.25</v>
      </c>
      <c r="K977" s="37">
        <f t="shared" si="31"/>
        <v>5625</v>
      </c>
      <c r="L977" s="37" t="s">
        <v>21</v>
      </c>
      <c r="M977" s="37" t="s">
        <v>27</v>
      </c>
      <c r="N977" s="4" t="str">
        <f>IF(I977=_xlfn.XLOOKUP(F977,Lists!$D$2:$D$13,Lists!$E$2:$E$13,"Not Found"),"OK","Check Price")</f>
        <v>Check Price</v>
      </c>
    </row>
    <row r="978" spans="1:14" ht="15.5" thickTop="1" thickBot="1" x14ac:dyDescent="0.4">
      <c r="A978" s="36" t="str">
        <f t="shared" si="30"/>
        <v>ORD0977</v>
      </c>
      <c r="B978" s="34">
        <v>45407</v>
      </c>
      <c r="C978" s="38" t="s">
        <v>69</v>
      </c>
      <c r="D978" s="38" t="s">
        <v>34</v>
      </c>
      <c r="E978" s="38" t="s">
        <v>35</v>
      </c>
      <c r="F978" s="38" t="s">
        <v>20</v>
      </c>
      <c r="G978" s="35" t="str">
        <f>_xlfn.XLOOKUP(F978,Lists!$J$2:$J$13,Lists!$K$2:$K$13,"Not Found")</f>
        <v>Electronics</v>
      </c>
      <c r="H978" s="38">
        <v>8</v>
      </c>
      <c r="I978" s="35">
        <f>_xlfn.XLOOKUP(F978,Lists!$D$2:$D$13,Lists!$E$2:$E$13,"Not Found")</f>
        <v>85000</v>
      </c>
      <c r="J978" s="48">
        <v>0.1</v>
      </c>
      <c r="K978" s="35">
        <f>H978*I978*(1-J978)</f>
        <v>612000</v>
      </c>
      <c r="L978" s="38" t="s">
        <v>50</v>
      </c>
      <c r="M978" s="38" t="s">
        <v>27</v>
      </c>
      <c r="N978" s="4" t="str">
        <f>IF(I978=_xlfn.XLOOKUP(F978,Lists!$D$2:$D$13,Lists!$E$2:$E$13,"Not Found"),"OK","Check Price")</f>
        <v>OK</v>
      </c>
    </row>
    <row r="979" spans="1:14" ht="15.5" hidden="1" thickTop="1" thickBot="1" x14ac:dyDescent="0.4">
      <c r="A979" s="36" t="str">
        <f t="shared" si="30"/>
        <v>ORD0978</v>
      </c>
      <c r="B979" s="34">
        <v>45542</v>
      </c>
      <c r="C979" s="37" t="s">
        <v>76</v>
      </c>
      <c r="D979" s="37" t="s">
        <v>42</v>
      </c>
      <c r="E979" s="37" t="s">
        <v>119</v>
      </c>
      <c r="F979" s="37" t="s">
        <v>52</v>
      </c>
      <c r="G979" s="37" t="s">
        <v>30</v>
      </c>
      <c r="H979" s="37">
        <v>7</v>
      </c>
      <c r="I979" s="37">
        <v>1500</v>
      </c>
      <c r="J979" s="37">
        <v>0.05</v>
      </c>
      <c r="K979" s="37">
        <f t="shared" si="31"/>
        <v>9975</v>
      </c>
      <c r="L979" s="37" t="s">
        <v>21</v>
      </c>
      <c r="M979" s="37" t="s">
        <v>33</v>
      </c>
      <c r="N979" s="4" t="str">
        <f>IF(I979=_xlfn.XLOOKUP(F979,Lists!$D$2:$D$13,Lists!$E$2:$E$13,"Not Found"),"OK","Check Price")</f>
        <v>Check Price</v>
      </c>
    </row>
    <row r="980" spans="1:14" ht="15.5" thickTop="1" thickBot="1" x14ac:dyDescent="0.4">
      <c r="A980" s="36" t="str">
        <f t="shared" si="30"/>
        <v>ORD0979</v>
      </c>
      <c r="B980" s="34">
        <v>45637</v>
      </c>
      <c r="C980" s="38" t="s">
        <v>63</v>
      </c>
      <c r="D980" s="38" t="s">
        <v>39</v>
      </c>
      <c r="E980" s="38" t="s">
        <v>80</v>
      </c>
      <c r="F980" s="38" t="s">
        <v>55</v>
      </c>
      <c r="G980" s="35" t="str">
        <f>_xlfn.XLOOKUP(F980,Lists!$J$2:$J$13,Lists!$K$2:$K$13,"Not Found")</f>
        <v>Office Supplies</v>
      </c>
      <c r="H980" s="38">
        <v>1</v>
      </c>
      <c r="I980" s="35">
        <f>_xlfn.XLOOKUP(F980,Lists!$D$2:$D$13,Lists!$E$2:$E$13,"Not Found")</f>
        <v>1500</v>
      </c>
      <c r="J980" s="48">
        <v>0.15</v>
      </c>
      <c r="K980" s="35">
        <f>H980*I980*(1-J980)</f>
        <v>1275</v>
      </c>
      <c r="L980" s="38" t="s">
        <v>50</v>
      </c>
      <c r="M980" s="38" t="s">
        <v>33</v>
      </c>
      <c r="N980" s="4" t="str">
        <f>IF(I980=_xlfn.XLOOKUP(F980,Lists!$D$2:$D$13,Lists!$E$2:$E$13,"Not Found"),"OK","Check Price")</f>
        <v>OK</v>
      </c>
    </row>
    <row r="981" spans="1:14" ht="15.5" hidden="1" thickTop="1" thickBot="1" x14ac:dyDescent="0.4">
      <c r="A981" s="36" t="str">
        <f t="shared" si="30"/>
        <v>ORD0980</v>
      </c>
      <c r="B981" s="34">
        <v>45497</v>
      </c>
      <c r="C981" s="37" t="s">
        <v>77</v>
      </c>
      <c r="D981" s="37" t="s">
        <v>48</v>
      </c>
      <c r="E981" s="37" t="s">
        <v>35</v>
      </c>
      <c r="F981" s="37" t="s">
        <v>43</v>
      </c>
      <c r="G981" s="37" t="s">
        <v>30</v>
      </c>
      <c r="H981" s="37">
        <v>10</v>
      </c>
      <c r="I981" s="37">
        <v>5000</v>
      </c>
      <c r="J981" s="37">
        <v>0.05</v>
      </c>
      <c r="K981" s="37">
        <f t="shared" si="31"/>
        <v>47500</v>
      </c>
      <c r="L981" s="37" t="s">
        <v>32</v>
      </c>
      <c r="M981" s="37" t="s">
        <v>27</v>
      </c>
      <c r="N981" s="4" t="str">
        <f>IF(I981=_xlfn.XLOOKUP(F981,Lists!$D$2:$D$13,Lists!$E$2:$E$13,"Not Found"),"OK","Check Price")</f>
        <v>Check Price</v>
      </c>
    </row>
    <row r="982" spans="1:14" ht="15.5" hidden="1" thickTop="1" thickBot="1" x14ac:dyDescent="0.4">
      <c r="A982" s="36" t="str">
        <f t="shared" si="30"/>
        <v>ORD0981</v>
      </c>
      <c r="B982" s="34">
        <v>45815</v>
      </c>
      <c r="C982" s="38" t="s">
        <v>74</v>
      </c>
      <c r="D982" s="38" t="s">
        <v>17</v>
      </c>
      <c r="E982" s="38" t="s">
        <v>119</v>
      </c>
      <c r="F982" s="38" t="s">
        <v>36</v>
      </c>
      <c r="G982" s="38" t="s">
        <v>30</v>
      </c>
      <c r="H982" s="38">
        <v>7</v>
      </c>
      <c r="I982" s="38">
        <v>350</v>
      </c>
      <c r="J982" s="38">
        <v>0.25</v>
      </c>
      <c r="K982" s="38">
        <f t="shared" si="31"/>
        <v>1837.5</v>
      </c>
      <c r="L982" s="38" t="s">
        <v>50</v>
      </c>
      <c r="M982" s="38" t="s">
        <v>33</v>
      </c>
      <c r="N982" s="4" t="str">
        <f>IF(I982=_xlfn.XLOOKUP(F982,Lists!$D$2:$D$13,Lists!$E$2:$E$13,"Not Found"),"OK","Check Price")</f>
        <v>Check Price</v>
      </c>
    </row>
    <row r="983" spans="1:14" ht="15.5" hidden="1" thickTop="1" thickBot="1" x14ac:dyDescent="0.4">
      <c r="A983" s="36" t="str">
        <f t="shared" si="30"/>
        <v>ORD0982</v>
      </c>
      <c r="B983" s="34">
        <v>45521</v>
      </c>
      <c r="C983" s="37" t="s">
        <v>59</v>
      </c>
      <c r="D983" s="37" t="s">
        <v>34</v>
      </c>
      <c r="E983" s="37" t="s">
        <v>80</v>
      </c>
      <c r="F983" s="37" t="s">
        <v>36</v>
      </c>
      <c r="G983" s="37" t="s">
        <v>19</v>
      </c>
      <c r="H983" s="37">
        <v>7</v>
      </c>
      <c r="I983" s="37">
        <v>85000</v>
      </c>
      <c r="J983" s="37">
        <v>0.1</v>
      </c>
      <c r="K983" s="37">
        <f t="shared" si="31"/>
        <v>535500</v>
      </c>
      <c r="L983" s="37" t="s">
        <v>21</v>
      </c>
      <c r="M983" s="37" t="s">
        <v>27</v>
      </c>
      <c r="N983" s="4" t="str">
        <f>IF(I983=_xlfn.XLOOKUP(F983,Lists!$D$2:$D$13,Lists!$E$2:$E$13,"Not Found"),"OK","Check Price")</f>
        <v>Check Price</v>
      </c>
    </row>
    <row r="984" spans="1:14" ht="15.5" thickTop="1" thickBot="1" x14ac:dyDescent="0.4">
      <c r="A984" s="36" t="str">
        <f t="shared" si="30"/>
        <v>ORD0983</v>
      </c>
      <c r="B984" s="34">
        <v>45382</v>
      </c>
      <c r="C984" s="38" t="s">
        <v>60</v>
      </c>
      <c r="D984" s="38" t="s">
        <v>51</v>
      </c>
      <c r="E984" s="38" t="s">
        <v>119</v>
      </c>
      <c r="F984" s="38" t="s">
        <v>55</v>
      </c>
      <c r="G984" s="35" t="str">
        <f>_xlfn.XLOOKUP(F984,Lists!$J$2:$J$13,Lists!$K$2:$K$13,"Not Found")</f>
        <v>Office Supplies</v>
      </c>
      <c r="H984" s="38">
        <v>8</v>
      </c>
      <c r="I984" s="35">
        <f>_xlfn.XLOOKUP(F984,Lists!$D$2:$D$13,Lists!$E$2:$E$13,"Not Found")</f>
        <v>1500</v>
      </c>
      <c r="J984" s="48">
        <v>0.2</v>
      </c>
      <c r="K984" s="35">
        <f>H984*I984*(1-J984)</f>
        <v>9600</v>
      </c>
      <c r="L984" s="38" t="s">
        <v>26</v>
      </c>
      <c r="M984" s="38" t="s">
        <v>38</v>
      </c>
      <c r="N984" s="4" t="str">
        <f>IF(I984=_xlfn.XLOOKUP(F984,Lists!$D$2:$D$13,Lists!$E$2:$E$13,"Not Found"),"OK","Check Price")</f>
        <v>OK</v>
      </c>
    </row>
    <row r="985" spans="1:14" ht="15.5" hidden="1" thickTop="1" thickBot="1" x14ac:dyDescent="0.4">
      <c r="A985" s="36" t="str">
        <f t="shared" si="30"/>
        <v>ORD0984</v>
      </c>
      <c r="B985" s="34">
        <v>45838</v>
      </c>
      <c r="C985" s="37" t="s">
        <v>72</v>
      </c>
      <c r="D985" s="37" t="s">
        <v>23</v>
      </c>
      <c r="E985" s="37" t="s">
        <v>35</v>
      </c>
      <c r="F985" s="37" t="s">
        <v>52</v>
      </c>
      <c r="G985" s="37" t="s">
        <v>19</v>
      </c>
      <c r="H985" s="37">
        <v>7</v>
      </c>
      <c r="I985" s="37">
        <v>28000</v>
      </c>
      <c r="J985" s="37">
        <v>0.15</v>
      </c>
      <c r="K985" s="37">
        <f t="shared" si="31"/>
        <v>166600</v>
      </c>
      <c r="L985" s="37" t="s">
        <v>32</v>
      </c>
      <c r="M985" s="37" t="s">
        <v>38</v>
      </c>
      <c r="N985" s="4" t="str">
        <f>IF(I985=_xlfn.XLOOKUP(F985,Lists!$D$2:$D$13,Lists!$E$2:$E$13,"Not Found"),"OK","Check Price")</f>
        <v>Check Price</v>
      </c>
    </row>
    <row r="986" spans="1:14" ht="15.5" hidden="1" thickTop="1" thickBot="1" x14ac:dyDescent="0.4">
      <c r="A986" s="36" t="str">
        <f t="shared" si="30"/>
        <v>ORD0985</v>
      </c>
      <c r="B986" s="34">
        <v>45502</v>
      </c>
      <c r="C986" s="38" t="s">
        <v>70</v>
      </c>
      <c r="D986" s="38" t="s">
        <v>45</v>
      </c>
      <c r="E986" s="38" t="s">
        <v>80</v>
      </c>
      <c r="F986" s="38" t="s">
        <v>36</v>
      </c>
      <c r="G986" s="38" t="s">
        <v>24</v>
      </c>
      <c r="H986" s="38">
        <v>4</v>
      </c>
      <c r="I986" s="38">
        <v>350</v>
      </c>
      <c r="J986" s="38">
        <v>0.25</v>
      </c>
      <c r="K986" s="38">
        <f t="shared" si="31"/>
        <v>1050</v>
      </c>
      <c r="L986" s="38" t="s">
        <v>41</v>
      </c>
      <c r="M986" s="38" t="s">
        <v>38</v>
      </c>
      <c r="N986" s="4" t="str">
        <f>IF(I986=_xlfn.XLOOKUP(F986,Lists!$D$2:$D$13,Lists!$E$2:$E$13,"Not Found"),"OK","Check Price")</f>
        <v>Check Price</v>
      </c>
    </row>
    <row r="987" spans="1:14" ht="15.5" hidden="1" thickTop="1" thickBot="1" x14ac:dyDescent="0.4">
      <c r="A987" s="36" t="str">
        <f t="shared" si="30"/>
        <v>ORD0986</v>
      </c>
      <c r="B987" s="34">
        <v>45357</v>
      </c>
      <c r="C987" s="37" t="s">
        <v>68</v>
      </c>
      <c r="D987" s="37" t="s">
        <v>42</v>
      </c>
      <c r="E987" s="37" t="s">
        <v>18</v>
      </c>
      <c r="F987" s="37" t="s">
        <v>40</v>
      </c>
      <c r="G987" s="37" t="s">
        <v>19</v>
      </c>
      <c r="H987" s="37">
        <v>7</v>
      </c>
      <c r="I987" s="37">
        <v>5000</v>
      </c>
      <c r="J987" s="37">
        <v>0.05</v>
      </c>
      <c r="K987" s="37">
        <f t="shared" si="31"/>
        <v>33250</v>
      </c>
      <c r="L987" s="37" t="s">
        <v>26</v>
      </c>
      <c r="M987" s="37" t="s">
        <v>38</v>
      </c>
      <c r="N987" s="4" t="str">
        <f>IF(I987=_xlfn.XLOOKUP(F987,Lists!$D$2:$D$13,Lists!$E$2:$E$13,"Not Found"),"OK","Check Price")</f>
        <v>Check Price</v>
      </c>
    </row>
    <row r="988" spans="1:14" ht="15.5" hidden="1" thickTop="1" thickBot="1" x14ac:dyDescent="0.4">
      <c r="A988" s="36" t="str">
        <f t="shared" si="30"/>
        <v>ORD0987</v>
      </c>
      <c r="B988" s="34">
        <v>45556</v>
      </c>
      <c r="C988" s="38" t="s">
        <v>64</v>
      </c>
      <c r="D988" s="38" t="s">
        <v>28</v>
      </c>
      <c r="E988" s="38" t="s">
        <v>79</v>
      </c>
      <c r="F988" s="38" t="s">
        <v>36</v>
      </c>
      <c r="G988" s="38" t="s">
        <v>30</v>
      </c>
      <c r="H988" s="38">
        <v>4</v>
      </c>
      <c r="I988" s="38">
        <v>2000</v>
      </c>
      <c r="J988" s="38">
        <v>0.25</v>
      </c>
      <c r="K988" s="38">
        <f t="shared" si="31"/>
        <v>6000</v>
      </c>
      <c r="L988" s="38" t="s">
        <v>47</v>
      </c>
      <c r="M988" s="38" t="s">
        <v>27</v>
      </c>
      <c r="N988" s="4" t="str">
        <f>IF(I988=_xlfn.XLOOKUP(F988,Lists!$D$2:$D$13,Lists!$E$2:$E$13,"Not Found"),"OK","Check Price")</f>
        <v>Check Price</v>
      </c>
    </row>
    <row r="989" spans="1:14" ht="15.5" hidden="1" thickTop="1" thickBot="1" x14ac:dyDescent="0.4">
      <c r="A989" s="36" t="str">
        <f t="shared" si="30"/>
        <v>ORD0988</v>
      </c>
      <c r="B989" s="34">
        <v>45796</v>
      </c>
      <c r="C989" s="37" t="s">
        <v>65</v>
      </c>
      <c r="D989" s="37" t="s">
        <v>48</v>
      </c>
      <c r="E989" s="37" t="s">
        <v>79</v>
      </c>
      <c r="F989" s="37" t="s">
        <v>49</v>
      </c>
      <c r="G989" s="37" t="s">
        <v>19</v>
      </c>
      <c r="H989" s="37">
        <v>5</v>
      </c>
      <c r="I989" s="37">
        <v>1500</v>
      </c>
      <c r="J989" s="37">
        <v>0.1</v>
      </c>
      <c r="K989" s="37">
        <f t="shared" si="31"/>
        <v>6750</v>
      </c>
      <c r="L989" s="37" t="s">
        <v>21</v>
      </c>
      <c r="M989" s="37" t="s">
        <v>33</v>
      </c>
      <c r="N989" s="4" t="str">
        <f>IF(I989=_xlfn.XLOOKUP(F989,Lists!$D$2:$D$13,Lists!$E$2:$E$13,"Not Found"),"OK","Check Price")</f>
        <v>Check Price</v>
      </c>
    </row>
    <row r="990" spans="1:14" ht="15.5" thickTop="1" thickBot="1" x14ac:dyDescent="0.4">
      <c r="A990" s="36" t="str">
        <f t="shared" si="30"/>
        <v>ORD0989</v>
      </c>
      <c r="B990" s="34">
        <v>45583</v>
      </c>
      <c r="C990" s="38" t="s">
        <v>62</v>
      </c>
      <c r="D990" s="38" t="s">
        <v>34</v>
      </c>
      <c r="E990" s="38" t="s">
        <v>35</v>
      </c>
      <c r="F990" s="38" t="s">
        <v>46</v>
      </c>
      <c r="G990" s="35" t="str">
        <f>_xlfn.XLOOKUP(F990,Lists!$J$2:$J$13,Lists!$K$2:$K$13,"Not Found")</f>
        <v>Furniture</v>
      </c>
      <c r="H990" s="38">
        <v>2</v>
      </c>
      <c r="I990" s="35">
        <f>_xlfn.XLOOKUP(F990,Lists!$D$2:$D$13,Lists!$E$2:$E$13,"Not Found")</f>
        <v>22000</v>
      </c>
      <c r="J990" s="48">
        <v>0.15</v>
      </c>
      <c r="K990" s="35">
        <f>H990*I990*(1-J990)</f>
        <v>37400</v>
      </c>
      <c r="L990" s="38" t="s">
        <v>56</v>
      </c>
      <c r="M990" s="38" t="s">
        <v>33</v>
      </c>
      <c r="N990" s="4" t="str">
        <f>IF(I990=_xlfn.XLOOKUP(F990,Lists!$D$2:$D$13,Lists!$E$2:$E$13,"Not Found"),"OK","Check Price")</f>
        <v>OK</v>
      </c>
    </row>
    <row r="991" spans="1:14" ht="15.5" hidden="1" thickTop="1" thickBot="1" x14ac:dyDescent="0.4">
      <c r="A991" s="36" t="str">
        <f t="shared" si="30"/>
        <v>ORD0990</v>
      </c>
      <c r="B991" s="34">
        <v>46001</v>
      </c>
      <c r="C991" s="37" t="s">
        <v>67</v>
      </c>
      <c r="D991" s="37" t="s">
        <v>39</v>
      </c>
      <c r="E991" s="37" t="s">
        <v>29</v>
      </c>
      <c r="F991" s="37" t="s">
        <v>40</v>
      </c>
      <c r="G991" s="37" t="s">
        <v>30</v>
      </c>
      <c r="H991" s="37">
        <v>6</v>
      </c>
      <c r="I991" s="37">
        <v>2000</v>
      </c>
      <c r="J991" s="37">
        <v>0.15</v>
      </c>
      <c r="K991" s="37">
        <f t="shared" si="31"/>
        <v>10200</v>
      </c>
      <c r="L991" s="37" t="s">
        <v>21</v>
      </c>
      <c r="M991" s="37" t="s">
        <v>22</v>
      </c>
      <c r="N991" s="4" t="str">
        <f>IF(I991=_xlfn.XLOOKUP(F991,Lists!$D$2:$D$13,Lists!$E$2:$E$13,"Not Found"),"OK","Check Price")</f>
        <v>Check Price</v>
      </c>
    </row>
    <row r="992" spans="1:14" ht="15.5" hidden="1" thickTop="1" thickBot="1" x14ac:dyDescent="0.4">
      <c r="A992" s="36" t="str">
        <f t="shared" si="30"/>
        <v>ORD0991</v>
      </c>
      <c r="B992" s="34">
        <v>45831</v>
      </c>
      <c r="C992" s="38" t="s">
        <v>69</v>
      </c>
      <c r="D992" s="38" t="s">
        <v>42</v>
      </c>
      <c r="E992" s="38" t="s">
        <v>35</v>
      </c>
      <c r="F992" s="38" t="s">
        <v>49</v>
      </c>
      <c r="G992" s="38" t="s">
        <v>19</v>
      </c>
      <c r="H992" s="38">
        <v>6</v>
      </c>
      <c r="I992" s="38">
        <v>5000</v>
      </c>
      <c r="J992" s="38">
        <v>0.05</v>
      </c>
      <c r="K992" s="38">
        <f t="shared" si="31"/>
        <v>28500</v>
      </c>
      <c r="L992" s="38" t="s">
        <v>56</v>
      </c>
      <c r="M992" s="38" t="s">
        <v>33</v>
      </c>
      <c r="N992" s="4" t="str">
        <f>IF(I992=_xlfn.XLOOKUP(F992,Lists!$D$2:$D$13,Lists!$E$2:$E$13,"Not Found"),"OK","Check Price")</f>
        <v>Check Price</v>
      </c>
    </row>
    <row r="993" spans="1:14" ht="15.5" hidden="1" thickTop="1" thickBot="1" x14ac:dyDescent="0.4">
      <c r="A993" s="36" t="str">
        <f t="shared" si="30"/>
        <v>ORD0992</v>
      </c>
      <c r="B993" s="34">
        <v>45524</v>
      </c>
      <c r="C993" s="37" t="s">
        <v>64</v>
      </c>
      <c r="D993" s="37" t="s">
        <v>23</v>
      </c>
      <c r="E993" s="37" t="s">
        <v>119</v>
      </c>
      <c r="F993" s="37" t="s">
        <v>58</v>
      </c>
      <c r="G993" s="37" t="s">
        <v>30</v>
      </c>
      <c r="H993" s="37">
        <v>7</v>
      </c>
      <c r="I993" s="37">
        <v>350</v>
      </c>
      <c r="J993" s="37">
        <v>0.15</v>
      </c>
      <c r="K993" s="37">
        <f t="shared" si="31"/>
        <v>2082.5</v>
      </c>
      <c r="L993" s="37" t="s">
        <v>56</v>
      </c>
      <c r="M993" s="37" t="s">
        <v>22</v>
      </c>
      <c r="N993" s="4" t="str">
        <f>IF(I993=_xlfn.XLOOKUP(F993,Lists!$D$2:$D$13,Lists!$E$2:$E$13,"Not Found"),"OK","Check Price")</f>
        <v>Check Price</v>
      </c>
    </row>
    <row r="994" spans="1:14" ht="15.5" hidden="1" thickTop="1" thickBot="1" x14ac:dyDescent="0.4">
      <c r="A994" s="36" t="str">
        <f t="shared" si="30"/>
        <v>ORD0993</v>
      </c>
      <c r="B994" s="34">
        <v>45712</v>
      </c>
      <c r="C994" s="38" t="s">
        <v>65</v>
      </c>
      <c r="D994" s="38" t="s">
        <v>23</v>
      </c>
      <c r="E994" s="38" t="s">
        <v>18</v>
      </c>
      <c r="F994" s="38" t="s">
        <v>43</v>
      </c>
      <c r="G994" s="38" t="s">
        <v>30</v>
      </c>
      <c r="H994" s="38">
        <v>4</v>
      </c>
      <c r="I994" s="38">
        <v>350</v>
      </c>
      <c r="J994" s="38">
        <v>0.1</v>
      </c>
      <c r="K994" s="38">
        <f t="shared" si="31"/>
        <v>1260</v>
      </c>
      <c r="L994" s="38" t="s">
        <v>53</v>
      </c>
      <c r="M994" s="38" t="s">
        <v>22</v>
      </c>
      <c r="N994" s="4" t="str">
        <f>IF(I994=_xlfn.XLOOKUP(F994,Lists!$D$2:$D$13,Lists!$E$2:$E$13,"Not Found"),"OK","Check Price")</f>
        <v>Check Price</v>
      </c>
    </row>
    <row r="995" spans="1:14" ht="15.5" hidden="1" thickTop="1" thickBot="1" x14ac:dyDescent="0.4">
      <c r="A995" s="36" t="str">
        <f t="shared" si="30"/>
        <v>ORD0994</v>
      </c>
      <c r="B995" s="34">
        <v>45398</v>
      </c>
      <c r="C995" s="37" t="s">
        <v>76</v>
      </c>
      <c r="D995" s="37" t="s">
        <v>45</v>
      </c>
      <c r="E995" s="37" t="s">
        <v>35</v>
      </c>
      <c r="F995" s="37" t="s">
        <v>43</v>
      </c>
      <c r="G995" s="37" t="s">
        <v>24</v>
      </c>
      <c r="H995" s="37">
        <v>6</v>
      </c>
      <c r="I995" s="37">
        <v>350</v>
      </c>
      <c r="J995" s="37">
        <v>0.05</v>
      </c>
      <c r="K995" s="37">
        <f t="shared" si="31"/>
        <v>1995</v>
      </c>
      <c r="L995" s="37" t="s">
        <v>41</v>
      </c>
      <c r="M995" s="37" t="s">
        <v>22</v>
      </c>
      <c r="N995" s="4" t="str">
        <f>IF(I995=_xlfn.XLOOKUP(F995,Lists!$D$2:$D$13,Lists!$E$2:$E$13,"Not Found"),"OK","Check Price")</f>
        <v>Check Price</v>
      </c>
    </row>
    <row r="996" spans="1:14" ht="15.5" thickTop="1" thickBot="1" x14ac:dyDescent="0.4">
      <c r="A996" s="36" t="str">
        <f t="shared" si="30"/>
        <v>ORD0995</v>
      </c>
      <c r="B996" s="34">
        <v>45378</v>
      </c>
      <c r="C996" s="38" t="s">
        <v>71</v>
      </c>
      <c r="D996" s="38" t="s">
        <v>51</v>
      </c>
      <c r="E996" s="38" t="s">
        <v>79</v>
      </c>
      <c r="F996" s="38" t="s">
        <v>20</v>
      </c>
      <c r="G996" s="35" t="str">
        <f>_xlfn.XLOOKUP(F996,Lists!$J$2:$J$13,Lists!$K$2:$K$13,"Not Found")</f>
        <v>Electronics</v>
      </c>
      <c r="H996" s="38">
        <v>9</v>
      </c>
      <c r="I996" s="35">
        <f>_xlfn.XLOOKUP(F996,Lists!$D$2:$D$13,Lists!$E$2:$E$13,"Not Found")</f>
        <v>85000</v>
      </c>
      <c r="J996" s="48">
        <v>0.1</v>
      </c>
      <c r="K996" s="35">
        <f t="shared" si="31"/>
        <v>688500</v>
      </c>
      <c r="L996" s="38" t="s">
        <v>32</v>
      </c>
      <c r="M996" s="38" t="s">
        <v>27</v>
      </c>
      <c r="N996" s="4" t="str">
        <f>IF(I996=_xlfn.XLOOKUP(F996,Lists!$D$2:$D$13,Lists!$E$2:$E$13,"Not Found"),"OK","Check Price")</f>
        <v>OK</v>
      </c>
    </row>
    <row r="997" spans="1:14" ht="15.5" thickTop="1" thickBot="1" x14ac:dyDescent="0.4">
      <c r="A997" s="36" t="str">
        <f t="shared" si="30"/>
        <v>ORD0996</v>
      </c>
      <c r="B997" s="34">
        <v>45959</v>
      </c>
      <c r="C997" s="37" t="s">
        <v>62</v>
      </c>
      <c r="D997" s="37" t="s">
        <v>39</v>
      </c>
      <c r="E997" s="37" t="s">
        <v>29</v>
      </c>
      <c r="F997" s="37" t="s">
        <v>46</v>
      </c>
      <c r="G997" s="35" t="str">
        <f>_xlfn.XLOOKUP(F997,Lists!$J$2:$J$13,Lists!$K$2:$K$13,"Not Found")</f>
        <v>Furniture</v>
      </c>
      <c r="H997" s="37">
        <v>2</v>
      </c>
      <c r="I997" s="35">
        <f>_xlfn.XLOOKUP(F997,Lists!$D$2:$D$13,Lists!$E$2:$E$13,"Not Found")</f>
        <v>22000</v>
      </c>
      <c r="J997" s="47">
        <v>0.1</v>
      </c>
      <c r="K997" s="35">
        <f t="shared" si="31"/>
        <v>39600</v>
      </c>
      <c r="L997" s="37" t="s">
        <v>44</v>
      </c>
      <c r="M997" s="37" t="s">
        <v>33</v>
      </c>
      <c r="N997" s="4" t="str">
        <f>IF(I997=_xlfn.XLOOKUP(F997,Lists!$D$2:$D$13,Lists!$E$2:$E$13,"Not Found"),"OK","Check Price")</f>
        <v>OK</v>
      </c>
    </row>
    <row r="998" spans="1:14" ht="15.5" hidden="1" thickTop="1" thickBot="1" x14ac:dyDescent="0.4">
      <c r="A998" s="36" t="str">
        <f t="shared" si="30"/>
        <v>ORD0997</v>
      </c>
      <c r="B998" s="34">
        <v>45659</v>
      </c>
      <c r="C998" s="38" t="s">
        <v>70</v>
      </c>
      <c r="D998" s="38" t="s">
        <v>48</v>
      </c>
      <c r="E998" s="38" t="s">
        <v>35</v>
      </c>
      <c r="F998" s="38" t="s">
        <v>31</v>
      </c>
      <c r="G998" s="38" t="s">
        <v>30</v>
      </c>
      <c r="H998" s="38">
        <v>3</v>
      </c>
      <c r="I998" s="38">
        <v>2500</v>
      </c>
      <c r="J998" s="38">
        <v>0.25</v>
      </c>
      <c r="K998" s="38">
        <f t="shared" si="31"/>
        <v>5625</v>
      </c>
      <c r="L998" s="38" t="s">
        <v>41</v>
      </c>
      <c r="M998" s="38" t="s">
        <v>33</v>
      </c>
      <c r="N998" s="4" t="str">
        <f>IF(I998=_xlfn.XLOOKUP(F998,Lists!$D$2:$D$13,Lists!$E$2:$E$13,"Not Found"),"OK","Check Price")</f>
        <v>Check Price</v>
      </c>
    </row>
    <row r="999" spans="1:14" ht="15.5" hidden="1" thickTop="1" thickBot="1" x14ac:dyDescent="0.4">
      <c r="A999" s="36" t="str">
        <f t="shared" si="30"/>
        <v>ORD0998</v>
      </c>
      <c r="B999" s="34">
        <v>45653</v>
      </c>
      <c r="C999" s="37" t="s">
        <v>62</v>
      </c>
      <c r="D999" s="37" t="s">
        <v>45</v>
      </c>
      <c r="E999" s="37" t="s">
        <v>18</v>
      </c>
      <c r="F999" s="37" t="s">
        <v>58</v>
      </c>
      <c r="G999" s="37" t="s">
        <v>19</v>
      </c>
      <c r="H999" s="37">
        <v>10</v>
      </c>
      <c r="I999" s="37">
        <v>1500</v>
      </c>
      <c r="J999" s="37">
        <v>0.25</v>
      </c>
      <c r="K999" s="37">
        <f t="shared" si="31"/>
        <v>11250</v>
      </c>
      <c r="L999" s="37" t="s">
        <v>53</v>
      </c>
      <c r="M999" s="37" t="s">
        <v>27</v>
      </c>
      <c r="N999" s="4" t="str">
        <f>IF(I999=_xlfn.XLOOKUP(F999,Lists!$D$2:$D$13,Lists!$E$2:$E$13,"Not Found"),"OK","Check Price")</f>
        <v>Check Price</v>
      </c>
    </row>
    <row r="1000" spans="1:14" ht="15.5" thickTop="1" thickBot="1" x14ac:dyDescent="0.4">
      <c r="A1000" s="36" t="str">
        <f t="shared" si="30"/>
        <v>ORD0999</v>
      </c>
      <c r="B1000" s="34">
        <v>45853</v>
      </c>
      <c r="C1000" s="38" t="s">
        <v>72</v>
      </c>
      <c r="D1000" s="38" t="s">
        <v>23</v>
      </c>
      <c r="E1000" s="38" t="s">
        <v>119</v>
      </c>
      <c r="F1000" s="38" t="s">
        <v>20</v>
      </c>
      <c r="G1000" s="35" t="str">
        <f>_xlfn.XLOOKUP(F1000,Lists!$J$2:$J$13,Lists!$K$2:$K$13,"Not Found")</f>
        <v>Electronics</v>
      </c>
      <c r="H1000" s="38">
        <v>1</v>
      </c>
      <c r="I1000" s="35">
        <f>_xlfn.XLOOKUP(F1000,Lists!$D$2:$D$13,Lists!$E$2:$E$13,"Not Found")</f>
        <v>85000</v>
      </c>
      <c r="J1000" s="48">
        <v>0.05</v>
      </c>
      <c r="K1000" s="35">
        <f t="shared" si="31"/>
        <v>80750</v>
      </c>
      <c r="L1000" s="38" t="s">
        <v>32</v>
      </c>
      <c r="M1000" s="38" t="s">
        <v>27</v>
      </c>
      <c r="N1000" s="4" t="str">
        <f>IF(I1000=_xlfn.XLOOKUP(F1000,Lists!$D$2:$D$13,Lists!$E$2:$E$13,"Not Found"),"OK","Check Price")</f>
        <v>OK</v>
      </c>
    </row>
    <row r="1001" spans="1:14" ht="15" thickTop="1" x14ac:dyDescent="0.35">
      <c r="A1001" s="36" t="str">
        <f t="shared" si="30"/>
        <v>ORD1000</v>
      </c>
      <c r="B1001" s="34">
        <v>45473</v>
      </c>
      <c r="C1001" s="37" t="s">
        <v>59</v>
      </c>
      <c r="D1001" s="37" t="s">
        <v>17</v>
      </c>
      <c r="E1001" s="37" t="s">
        <v>119</v>
      </c>
      <c r="F1001" s="37" t="s">
        <v>20</v>
      </c>
      <c r="G1001" s="35" t="str">
        <f>_xlfn.XLOOKUP(F1001,Lists!$J$2:$J$13,Lists!$K$2:$K$13,"Not Found")</f>
        <v>Electronics</v>
      </c>
      <c r="H1001" s="37">
        <v>1</v>
      </c>
      <c r="I1001" s="35">
        <f>_xlfn.XLOOKUP(F1001,Lists!$D$2:$D$13,Lists!$E$2:$E$13,"Not Found")</f>
        <v>85000</v>
      </c>
      <c r="J1001" s="47">
        <v>0.15</v>
      </c>
      <c r="K1001" s="35">
        <f t="shared" si="31"/>
        <v>72250</v>
      </c>
      <c r="L1001" s="37" t="s">
        <v>53</v>
      </c>
      <c r="M1001" s="37" t="s">
        <v>27</v>
      </c>
      <c r="N1001" s="4" t="str">
        <f>IF(I1001=_xlfn.XLOOKUP(F1001,Lists!$D$2:$D$13,Lists!$E$2:$E$13,"Not Found"),"OK","Check Price")</f>
        <v>OK</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AABA7-E112-424F-B801-1BC4C3D0383E}">
  <sheetPr>
    <tabColor theme="9" tint="0.39997558519241921"/>
  </sheetPr>
  <dimension ref="A1:D2"/>
  <sheetViews>
    <sheetView workbookViewId="0">
      <selection activeCell="C2" sqref="A1:D2"/>
    </sheetView>
  </sheetViews>
  <sheetFormatPr defaultRowHeight="14.5" x14ac:dyDescent="0.35"/>
  <cols>
    <col min="1" max="1" width="9.6328125" bestFit="1" customWidth="1"/>
    <col min="2" max="2" width="11.1796875" bestFit="1" customWidth="1"/>
    <col min="3" max="3" width="12.6328125" bestFit="1" customWidth="1"/>
    <col min="4" max="4" width="18.1796875" bestFit="1" customWidth="1"/>
  </cols>
  <sheetData>
    <row r="1" spans="1:4" x14ac:dyDescent="0.35">
      <c r="A1" s="4" t="s">
        <v>9</v>
      </c>
      <c r="B1" s="4" t="s">
        <v>81</v>
      </c>
      <c r="C1" s="4" t="s">
        <v>82</v>
      </c>
      <c r="D1" s="4" t="s">
        <v>83</v>
      </c>
    </row>
    <row r="2" spans="1:4" x14ac:dyDescent="0.35">
      <c r="A2" s="4">
        <f>SUM(SalesData[Total Sales])</f>
        <v>101465857.5</v>
      </c>
      <c r="B2" s="4">
        <f>COUNTA(SalesData[Order ID])</f>
        <v>1000</v>
      </c>
      <c r="C2" s="4">
        <f>SUM(SalesData[Quantity])</f>
        <v>5479</v>
      </c>
      <c r="D2" s="4">
        <f>A2/B2</f>
        <v>101465.8575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AA18E-75D7-492A-8493-5D50F24E48CA}">
  <sheetPr>
    <tabColor theme="7" tint="0.39997558519241921"/>
  </sheetPr>
  <dimension ref="A1:L33"/>
  <sheetViews>
    <sheetView showGridLines="0" tabSelected="1" topLeftCell="A19" workbookViewId="0">
      <selection activeCell="E27" sqref="E27:E30"/>
    </sheetView>
  </sheetViews>
  <sheetFormatPr defaultRowHeight="14.5" x14ac:dyDescent="0.35"/>
  <cols>
    <col min="1" max="1" width="16.08984375" style="4" bestFit="1" customWidth="1"/>
    <col min="2" max="2" width="15.81640625" style="4" bestFit="1" customWidth="1"/>
    <col min="3" max="3" width="14.54296875" style="4" bestFit="1" customWidth="1"/>
    <col min="4" max="4" width="8.08984375" style="4" customWidth="1"/>
    <col min="5" max="5" width="12.81640625" style="4" bestFit="1" customWidth="1"/>
    <col min="6" max="6" width="16.08984375" style="4" bestFit="1" customWidth="1"/>
    <col min="7" max="7" width="8.7265625" style="4"/>
    <col min="8" max="8" width="15.81640625" style="4" bestFit="1" customWidth="1"/>
    <col min="9" max="9" width="16.08984375" style="4" bestFit="1" customWidth="1"/>
    <col min="10" max="10" width="7" style="4" customWidth="1"/>
    <col min="11" max="11" width="11" style="4" bestFit="1" customWidth="1"/>
    <col min="12" max="12" width="16.08984375" style="4" bestFit="1" customWidth="1"/>
    <col min="13" max="16384" width="8.7265625" style="4"/>
  </cols>
  <sheetData>
    <row r="1" spans="1:12" ht="15" thickBot="1" x14ac:dyDescent="0.4">
      <c r="A1" s="51" t="s">
        <v>91</v>
      </c>
      <c r="B1" s="52"/>
      <c r="C1" s="53"/>
      <c r="E1" s="51" t="s">
        <v>87</v>
      </c>
      <c r="F1" s="54"/>
      <c r="H1" s="51" t="s">
        <v>88</v>
      </c>
      <c r="I1" s="53"/>
      <c r="K1" s="51" t="s">
        <v>86</v>
      </c>
      <c r="L1" s="53"/>
    </row>
    <row r="2" spans="1:12" ht="15" thickBot="1" x14ac:dyDescent="0.4">
      <c r="A2" s="5" t="s">
        <v>92</v>
      </c>
      <c r="B2" s="5" t="s">
        <v>93</v>
      </c>
      <c r="C2" s="6" t="s">
        <v>85</v>
      </c>
      <c r="E2" s="5" t="s">
        <v>14</v>
      </c>
      <c r="F2" s="6" t="s">
        <v>85</v>
      </c>
      <c r="H2" s="5" t="s">
        <v>98</v>
      </c>
      <c r="I2" s="6" t="s">
        <v>85</v>
      </c>
      <c r="K2" s="5" t="s">
        <v>3</v>
      </c>
      <c r="L2" s="6" t="s">
        <v>85</v>
      </c>
    </row>
    <row r="3" spans="1:12" x14ac:dyDescent="0.35">
      <c r="A3" s="7" t="s">
        <v>96</v>
      </c>
      <c r="B3" s="7" t="s">
        <v>110</v>
      </c>
      <c r="C3" s="100">
        <v>2845590</v>
      </c>
      <c r="E3" s="7" t="s">
        <v>55</v>
      </c>
      <c r="F3" s="100">
        <v>525000</v>
      </c>
      <c r="H3" s="7" t="s">
        <v>26</v>
      </c>
      <c r="I3" s="100">
        <v>8392347.5</v>
      </c>
      <c r="K3" s="7" t="s">
        <v>79</v>
      </c>
      <c r="L3" s="100">
        <v>20611850</v>
      </c>
    </row>
    <row r="4" spans="1:12" x14ac:dyDescent="0.35">
      <c r="A4" s="8"/>
      <c r="B4" s="8" t="s">
        <v>111</v>
      </c>
      <c r="C4" s="101">
        <v>4937840</v>
      </c>
      <c r="E4" s="8" t="s">
        <v>58</v>
      </c>
      <c r="F4" s="101">
        <v>7897787.5</v>
      </c>
      <c r="H4" s="8" t="s">
        <v>21</v>
      </c>
      <c r="I4" s="101">
        <v>16249705</v>
      </c>
      <c r="K4" s="8" t="s">
        <v>29</v>
      </c>
      <c r="L4" s="101">
        <v>15508847.5</v>
      </c>
    </row>
    <row r="5" spans="1:12" x14ac:dyDescent="0.35">
      <c r="A5" s="8"/>
      <c r="B5" s="8" t="s">
        <v>112</v>
      </c>
      <c r="C5" s="101">
        <v>4619320</v>
      </c>
      <c r="E5" s="8" t="s">
        <v>31</v>
      </c>
      <c r="F5" s="101">
        <v>6567997.5</v>
      </c>
      <c r="H5" s="8" t="s">
        <v>32</v>
      </c>
      <c r="I5" s="101">
        <v>10631537.5</v>
      </c>
      <c r="K5" s="8" t="s">
        <v>18</v>
      </c>
      <c r="L5" s="101">
        <v>14372817.5</v>
      </c>
    </row>
    <row r="6" spans="1:12" x14ac:dyDescent="0.35">
      <c r="A6" s="8"/>
      <c r="B6" s="8" t="s">
        <v>107</v>
      </c>
      <c r="C6" s="101">
        <v>5452800</v>
      </c>
      <c r="E6" s="8" t="s">
        <v>20</v>
      </c>
      <c r="F6" s="101">
        <v>36222750</v>
      </c>
      <c r="H6" s="8" t="s">
        <v>44</v>
      </c>
      <c r="I6" s="101">
        <v>8695777.5</v>
      </c>
      <c r="K6" s="8" t="s">
        <v>80</v>
      </c>
      <c r="L6" s="101">
        <v>16387497.5</v>
      </c>
    </row>
    <row r="7" spans="1:12" x14ac:dyDescent="0.35">
      <c r="A7" s="8"/>
      <c r="B7" s="8" t="s">
        <v>116</v>
      </c>
      <c r="C7" s="101">
        <v>3810852.5</v>
      </c>
      <c r="E7" s="8" t="s">
        <v>25</v>
      </c>
      <c r="F7" s="101">
        <v>6006547.5</v>
      </c>
      <c r="H7" s="8" t="s">
        <v>37</v>
      </c>
      <c r="I7" s="101">
        <v>10275082.5</v>
      </c>
      <c r="K7" s="8" t="s">
        <v>35</v>
      </c>
      <c r="L7" s="101">
        <v>16156142.5</v>
      </c>
    </row>
    <row r="8" spans="1:12" ht="15" thickBot="1" x14ac:dyDescent="0.4">
      <c r="A8" s="8"/>
      <c r="B8" s="8" t="s">
        <v>113</v>
      </c>
      <c r="C8" s="101">
        <v>3921877.5</v>
      </c>
      <c r="E8" s="8" t="s">
        <v>36</v>
      </c>
      <c r="F8" s="101">
        <v>6076387.5</v>
      </c>
      <c r="H8" s="8" t="s">
        <v>41</v>
      </c>
      <c r="I8" s="101">
        <v>12407277.5</v>
      </c>
      <c r="K8" s="9" t="s">
        <v>119</v>
      </c>
      <c r="L8" s="101">
        <v>18428702.5</v>
      </c>
    </row>
    <row r="9" spans="1:12" ht="15" thickBot="1" x14ac:dyDescent="0.4">
      <c r="A9" s="8"/>
      <c r="B9" s="8" t="s">
        <v>105</v>
      </c>
      <c r="C9" s="101">
        <v>4318820</v>
      </c>
      <c r="E9" s="8" t="s">
        <v>49</v>
      </c>
      <c r="F9" s="101">
        <v>5507170</v>
      </c>
      <c r="H9" s="8" t="s">
        <v>56</v>
      </c>
      <c r="I9" s="101">
        <v>9324817.5</v>
      </c>
      <c r="K9" s="6" t="s">
        <v>84</v>
      </c>
      <c r="L9" s="102">
        <v>101465857.5</v>
      </c>
    </row>
    <row r="10" spans="1:12" ht="15" thickBot="1" x14ac:dyDescent="0.4">
      <c r="A10" s="8"/>
      <c r="B10" s="8" t="s">
        <v>89</v>
      </c>
      <c r="C10" s="101">
        <v>9422005</v>
      </c>
      <c r="E10" s="8" t="s">
        <v>43</v>
      </c>
      <c r="F10" s="101">
        <v>6941902.5</v>
      </c>
      <c r="H10" s="8" t="s">
        <v>50</v>
      </c>
      <c r="I10" s="101">
        <v>6091995</v>
      </c>
    </row>
    <row r="11" spans="1:12" ht="15" thickBot="1" x14ac:dyDescent="0.4">
      <c r="A11" s="8"/>
      <c r="B11" s="8" t="s">
        <v>108</v>
      </c>
      <c r="C11" s="101">
        <v>4090307.5</v>
      </c>
      <c r="E11" s="8" t="s">
        <v>46</v>
      </c>
      <c r="F11" s="101">
        <v>9735000</v>
      </c>
      <c r="H11" s="8" t="s">
        <v>53</v>
      </c>
      <c r="I11" s="101">
        <v>8404842.5</v>
      </c>
      <c r="K11" s="51" t="s">
        <v>133</v>
      </c>
      <c r="L11" s="53"/>
    </row>
    <row r="12" spans="1:12" ht="15" thickBot="1" x14ac:dyDescent="0.4">
      <c r="A12" s="8"/>
      <c r="B12" s="8" t="s">
        <v>114</v>
      </c>
      <c r="C12" s="101">
        <v>3211980</v>
      </c>
      <c r="E12" s="8" t="s">
        <v>40</v>
      </c>
      <c r="F12" s="101">
        <v>4929470</v>
      </c>
      <c r="H12" s="9" t="s">
        <v>47</v>
      </c>
      <c r="I12" s="101">
        <v>10992475</v>
      </c>
      <c r="K12" s="5" t="s">
        <v>5</v>
      </c>
      <c r="L12" s="6" t="s">
        <v>85</v>
      </c>
    </row>
    <row r="13" spans="1:12" ht="15" thickBot="1" x14ac:dyDescent="0.4">
      <c r="A13" s="8"/>
      <c r="B13" s="8" t="s">
        <v>115</v>
      </c>
      <c r="C13" s="101">
        <v>3227587.5</v>
      </c>
      <c r="E13" s="8" t="s">
        <v>52</v>
      </c>
      <c r="F13" s="101">
        <v>5659342.5</v>
      </c>
      <c r="H13" s="6" t="s">
        <v>84</v>
      </c>
      <c r="I13" s="102">
        <v>101465857.5</v>
      </c>
      <c r="K13" s="7" t="s">
        <v>19</v>
      </c>
      <c r="L13" s="100">
        <v>54927260</v>
      </c>
    </row>
    <row r="14" spans="1:12" ht="15" thickBot="1" x14ac:dyDescent="0.4">
      <c r="A14" s="9"/>
      <c r="B14" s="9" t="s">
        <v>90</v>
      </c>
      <c r="C14" s="101">
        <v>5216190</v>
      </c>
      <c r="E14" s="9" t="s">
        <v>57</v>
      </c>
      <c r="F14" s="101">
        <v>5396502.5</v>
      </c>
      <c r="K14" s="8" t="s">
        <v>24</v>
      </c>
      <c r="L14" s="101">
        <v>28693095</v>
      </c>
    </row>
    <row r="15" spans="1:12" ht="15" thickBot="1" x14ac:dyDescent="0.4">
      <c r="A15" s="10" t="s">
        <v>97</v>
      </c>
      <c r="B15" s="11"/>
      <c r="C15" s="101">
        <v>55075170</v>
      </c>
      <c r="E15" s="6" t="s">
        <v>84</v>
      </c>
      <c r="F15" s="102">
        <v>101465857.5</v>
      </c>
      <c r="K15" s="9" t="s">
        <v>30</v>
      </c>
      <c r="L15" s="101">
        <v>17845502.5</v>
      </c>
    </row>
    <row r="16" spans="1:12" ht="15" thickBot="1" x14ac:dyDescent="0.4">
      <c r="A16" s="7" t="s">
        <v>106</v>
      </c>
      <c r="B16" s="7" t="s">
        <v>110</v>
      </c>
      <c r="C16" s="101">
        <v>4249992.5</v>
      </c>
      <c r="K16" s="6" t="s">
        <v>84</v>
      </c>
      <c r="L16" s="102">
        <v>101465857.5</v>
      </c>
    </row>
    <row r="17" spans="1:3" x14ac:dyDescent="0.35">
      <c r="A17" s="8"/>
      <c r="B17" s="8" t="s">
        <v>111</v>
      </c>
      <c r="C17" s="101">
        <v>3768090</v>
      </c>
    </row>
    <row r="18" spans="1:3" x14ac:dyDescent="0.35">
      <c r="A18" s="8"/>
      <c r="B18" s="8" t="s">
        <v>112</v>
      </c>
      <c r="C18" s="101">
        <v>3061625</v>
      </c>
    </row>
    <row r="19" spans="1:3" x14ac:dyDescent="0.35">
      <c r="A19" s="8"/>
      <c r="B19" s="8" t="s">
        <v>107</v>
      </c>
      <c r="C19" s="101">
        <v>4163080</v>
      </c>
    </row>
    <row r="20" spans="1:3" x14ac:dyDescent="0.35">
      <c r="A20" s="8"/>
      <c r="B20" s="8" t="s">
        <v>116</v>
      </c>
      <c r="C20" s="101">
        <v>3576615</v>
      </c>
    </row>
    <row r="21" spans="1:3" x14ac:dyDescent="0.35">
      <c r="A21" s="8"/>
      <c r="B21" s="8" t="s">
        <v>113</v>
      </c>
      <c r="C21" s="101">
        <v>2449110</v>
      </c>
    </row>
    <row r="22" spans="1:3" x14ac:dyDescent="0.35">
      <c r="A22" s="8"/>
      <c r="B22" s="8" t="s">
        <v>105</v>
      </c>
      <c r="C22" s="101">
        <v>5823465</v>
      </c>
    </row>
    <row r="23" spans="1:3" x14ac:dyDescent="0.35">
      <c r="A23" s="8"/>
      <c r="B23" s="8" t="s">
        <v>89</v>
      </c>
      <c r="C23" s="101">
        <v>2987350</v>
      </c>
    </row>
    <row r="24" spans="1:3" x14ac:dyDescent="0.35">
      <c r="A24" s="8"/>
      <c r="B24" s="8" t="s">
        <v>108</v>
      </c>
      <c r="C24" s="101">
        <v>3604637.5</v>
      </c>
    </row>
    <row r="25" spans="1:3" x14ac:dyDescent="0.35">
      <c r="A25" s="8"/>
      <c r="B25" s="8" t="s">
        <v>114</v>
      </c>
      <c r="C25" s="101">
        <v>4408370</v>
      </c>
    </row>
    <row r="26" spans="1:3" x14ac:dyDescent="0.35">
      <c r="A26" s="8"/>
      <c r="B26" s="8" t="s">
        <v>115</v>
      </c>
      <c r="C26" s="101">
        <v>4759722.5</v>
      </c>
    </row>
    <row r="27" spans="1:3" ht="15" thickBot="1" x14ac:dyDescent="0.4">
      <c r="A27" s="9"/>
      <c r="B27" s="9" t="s">
        <v>90</v>
      </c>
      <c r="C27" s="101">
        <v>3538630</v>
      </c>
    </row>
    <row r="28" spans="1:3" ht="15" thickBot="1" x14ac:dyDescent="0.4">
      <c r="A28" s="10" t="s">
        <v>109</v>
      </c>
      <c r="B28" s="11"/>
      <c r="C28" s="101">
        <v>46390687.5</v>
      </c>
    </row>
    <row r="29" spans="1:3" ht="15" thickBot="1" x14ac:dyDescent="0.4">
      <c r="A29" s="10" t="s">
        <v>84</v>
      </c>
      <c r="B29" s="11"/>
      <c r="C29" s="102">
        <v>101465857.5</v>
      </c>
    </row>
    <row r="30" spans="1:3" ht="15" thickBot="1" x14ac:dyDescent="0.4"/>
    <row r="31" spans="1:3" ht="15" thickBot="1" x14ac:dyDescent="0.4">
      <c r="A31" s="1" t="s">
        <v>9</v>
      </c>
      <c r="B31" s="2" t="s">
        <v>100</v>
      </c>
      <c r="C31" s="3" t="s">
        <v>102</v>
      </c>
    </row>
    <row r="32" spans="1:3" ht="15" thickBot="1" x14ac:dyDescent="0.4">
      <c r="A32" s="10" t="s">
        <v>85</v>
      </c>
      <c r="B32" s="45" t="s">
        <v>99</v>
      </c>
      <c r="C32" s="11" t="s">
        <v>101</v>
      </c>
    </row>
    <row r="33" spans="1:3" ht="15" thickBot="1" x14ac:dyDescent="0.4">
      <c r="A33" s="97">
        <v>101465857.5</v>
      </c>
      <c r="B33" s="98">
        <v>1000</v>
      </c>
      <c r="C33" s="99">
        <v>5479</v>
      </c>
    </row>
  </sheetData>
  <mergeCells count="5">
    <mergeCell ref="A1:C1"/>
    <mergeCell ref="E1:F1"/>
    <mergeCell ref="H1:I1"/>
    <mergeCell ref="K1:L1"/>
    <mergeCell ref="K11:L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10452-52F7-470A-9B30-DE2AC917BF59}">
  <sheetPr>
    <tabColor theme="5" tint="0.39997558519241921"/>
  </sheetPr>
  <dimension ref="B1:H8"/>
  <sheetViews>
    <sheetView showGridLines="0" topLeftCell="A21" workbookViewId="0">
      <selection activeCell="I12" sqref="I12"/>
    </sheetView>
  </sheetViews>
  <sheetFormatPr defaultRowHeight="14.5" x14ac:dyDescent="0.35"/>
  <cols>
    <col min="1" max="1" width="2.1796875" style="4" customWidth="1"/>
    <col min="2" max="2" width="22.81640625" style="4" bestFit="1" customWidth="1"/>
    <col min="3" max="3" width="17.36328125" style="4" customWidth="1"/>
    <col min="4" max="4" width="22.08984375" style="4" customWidth="1"/>
    <col min="5" max="16384" width="8.7265625" style="4"/>
  </cols>
  <sheetData>
    <row r="1" spans="2:8" ht="15" thickBot="1" x14ac:dyDescent="0.4"/>
    <row r="2" spans="2:8" ht="29" thickBot="1" x14ac:dyDescent="0.4">
      <c r="B2" s="55" t="s">
        <v>95</v>
      </c>
      <c r="C2" s="56"/>
      <c r="D2" s="57"/>
      <c r="E2" s="39"/>
      <c r="F2" s="40"/>
      <c r="G2" s="40"/>
      <c r="H2" s="40"/>
    </row>
    <row r="3" spans="2:8" ht="15" thickBot="1" x14ac:dyDescent="0.4"/>
    <row r="4" spans="2:8" ht="16" thickBot="1" x14ac:dyDescent="0.4">
      <c r="B4" s="41" t="s">
        <v>9</v>
      </c>
      <c r="D4" s="41" t="s">
        <v>94</v>
      </c>
      <c r="E4" s="42"/>
      <c r="F4" s="42"/>
      <c r="G4" s="42"/>
    </row>
    <row r="5" spans="2:8" ht="22" thickTop="1" thickBot="1" x14ac:dyDescent="0.4">
      <c r="B5" s="43">
        <f>GETPIVOTDATA("Sum of Total Sales",Pivots!$A$32)</f>
        <v>101465857.5</v>
      </c>
      <c r="D5" s="44">
        <f>GETPIVOTDATA("Sum of Quantity",Pivots!$A$32)</f>
        <v>5479</v>
      </c>
    </row>
    <row r="6" spans="2:8" ht="21.5" thickBot="1" x14ac:dyDescent="0.4">
      <c r="C6" s="40"/>
    </row>
    <row r="7" spans="2:8" ht="21.5" thickBot="1" x14ac:dyDescent="0.4">
      <c r="B7" s="41" t="s">
        <v>81</v>
      </c>
      <c r="C7" s="40"/>
      <c r="D7" s="41" t="s">
        <v>83</v>
      </c>
    </row>
    <row r="8" spans="2:8" ht="22" thickTop="1" thickBot="1" x14ac:dyDescent="0.4">
      <c r="B8" s="44">
        <f>GETPIVOTDATA("Count of Order ID",Pivots!$A$32)</f>
        <v>1000</v>
      </c>
      <c r="C8" s="40"/>
      <c r="D8" s="43">
        <f>GETPIVOTDATA("Sum of Total Sales",Pivots!$A$32)/GETPIVOTDATA("Count of Order ID",Pivots!$A$32)</f>
        <v>101465.8575</v>
      </c>
    </row>
  </sheetData>
  <mergeCells count="1">
    <mergeCell ref="B2:D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AA6FE-B302-4888-93D5-E2FA91795688}">
  <sheetPr>
    <tabColor theme="4" tint="-0.499984740745262"/>
  </sheetPr>
  <dimension ref="B1:M25"/>
  <sheetViews>
    <sheetView showGridLines="0" topLeftCell="A8" workbookViewId="0">
      <selection activeCell="B24" sqref="B24:M25"/>
    </sheetView>
  </sheetViews>
  <sheetFormatPr defaultRowHeight="14.5" x14ac:dyDescent="0.35"/>
  <cols>
    <col min="1" max="1" width="2.54296875" customWidth="1"/>
    <col min="8" max="8" width="13.6328125" customWidth="1"/>
    <col min="10" max="10" width="15.36328125" customWidth="1"/>
    <col min="12" max="12" width="18.08984375" customWidth="1"/>
    <col min="13" max="13" width="45.54296875" customWidth="1"/>
  </cols>
  <sheetData>
    <row r="1" spans="2:13" ht="15" thickBot="1" x14ac:dyDescent="0.4"/>
    <row r="2" spans="2:13" ht="23.5" x14ac:dyDescent="0.55000000000000004">
      <c r="B2" s="76" t="s">
        <v>103</v>
      </c>
      <c r="C2" s="77"/>
      <c r="D2" s="77"/>
      <c r="E2" s="77"/>
      <c r="F2" s="77"/>
      <c r="G2" s="77"/>
      <c r="H2" s="77"/>
      <c r="I2" s="77"/>
      <c r="J2" s="77"/>
      <c r="K2" s="77"/>
      <c r="L2" s="77"/>
      <c r="M2" s="78"/>
    </row>
    <row r="3" spans="2:13" x14ac:dyDescent="0.35">
      <c r="B3" s="94" t="s">
        <v>137</v>
      </c>
      <c r="C3" s="95"/>
      <c r="D3" s="95"/>
      <c r="E3" s="95"/>
      <c r="F3" s="95"/>
      <c r="G3" s="95"/>
      <c r="H3" s="95"/>
      <c r="I3" s="95"/>
      <c r="J3" s="95"/>
      <c r="K3" s="95"/>
      <c r="L3" s="95"/>
      <c r="M3" s="96"/>
    </row>
    <row r="4" spans="2:13" x14ac:dyDescent="0.35">
      <c r="B4" s="94" t="s">
        <v>121</v>
      </c>
      <c r="C4" s="95"/>
      <c r="D4" s="95"/>
      <c r="E4" s="95"/>
      <c r="F4" s="95"/>
      <c r="G4" s="95"/>
      <c r="H4" s="95"/>
      <c r="I4" s="95"/>
      <c r="J4" s="95"/>
      <c r="K4" s="95"/>
      <c r="L4" s="95"/>
      <c r="M4" s="96"/>
    </row>
    <row r="5" spans="2:13" x14ac:dyDescent="0.35">
      <c r="B5" s="94" t="s">
        <v>134</v>
      </c>
      <c r="C5" s="95"/>
      <c r="D5" s="95"/>
      <c r="E5" s="95"/>
      <c r="F5" s="95"/>
      <c r="G5" s="95"/>
      <c r="H5" s="95"/>
      <c r="I5" s="95"/>
      <c r="J5" s="95"/>
      <c r="K5" s="95"/>
      <c r="L5" s="95"/>
      <c r="M5" s="96"/>
    </row>
    <row r="6" spans="2:13" x14ac:dyDescent="0.35">
      <c r="B6" s="94" t="s">
        <v>122</v>
      </c>
      <c r="C6" s="95"/>
      <c r="D6" s="95"/>
      <c r="E6" s="95"/>
      <c r="F6" s="95"/>
      <c r="G6" s="95"/>
      <c r="H6" s="95"/>
      <c r="I6" s="95"/>
      <c r="J6" s="95"/>
      <c r="K6" s="95"/>
      <c r="L6" s="95"/>
      <c r="M6" s="96"/>
    </row>
    <row r="7" spans="2:13" x14ac:dyDescent="0.35">
      <c r="B7" s="94" t="s">
        <v>123</v>
      </c>
      <c r="C7" s="95"/>
      <c r="D7" s="95"/>
      <c r="E7" s="95"/>
      <c r="F7" s="95"/>
      <c r="G7" s="95"/>
      <c r="H7" s="95"/>
      <c r="I7" s="95"/>
      <c r="J7" s="95"/>
      <c r="K7" s="95"/>
      <c r="L7" s="95"/>
      <c r="M7" s="96"/>
    </row>
    <row r="8" spans="2:13" x14ac:dyDescent="0.35">
      <c r="B8" s="94" t="s">
        <v>124</v>
      </c>
      <c r="C8" s="95"/>
      <c r="D8" s="95"/>
      <c r="E8" s="95"/>
      <c r="F8" s="95"/>
      <c r="G8" s="95"/>
      <c r="H8" s="95"/>
      <c r="I8" s="95"/>
      <c r="J8" s="95"/>
      <c r="K8" s="95"/>
      <c r="L8" s="95"/>
      <c r="M8" s="96"/>
    </row>
    <row r="9" spans="2:13" x14ac:dyDescent="0.35">
      <c r="B9" s="88" t="s">
        <v>125</v>
      </c>
      <c r="C9" s="89"/>
      <c r="D9" s="89"/>
      <c r="E9" s="89"/>
      <c r="F9" s="89"/>
      <c r="G9" s="89"/>
      <c r="H9" s="89"/>
      <c r="I9" s="89"/>
      <c r="J9" s="89"/>
      <c r="K9" s="89"/>
      <c r="L9" s="89"/>
      <c r="M9" s="90"/>
    </row>
    <row r="10" spans="2:13" ht="15" thickBot="1" x14ac:dyDescent="0.4">
      <c r="B10" s="91" t="s">
        <v>135</v>
      </c>
      <c r="C10" s="92"/>
      <c r="D10" s="92"/>
      <c r="E10" s="92"/>
      <c r="F10" s="92"/>
      <c r="G10" s="92"/>
      <c r="H10" s="92"/>
      <c r="I10" s="92"/>
      <c r="J10" s="92"/>
      <c r="K10" s="92"/>
      <c r="L10" s="92"/>
      <c r="M10" s="93"/>
    </row>
    <row r="11" spans="2:13" ht="15" thickBot="1" x14ac:dyDescent="0.4"/>
    <row r="12" spans="2:13" ht="23.5" x14ac:dyDescent="0.55000000000000004">
      <c r="B12" s="76" t="s">
        <v>104</v>
      </c>
      <c r="C12" s="77"/>
      <c r="D12" s="77"/>
      <c r="E12" s="77"/>
      <c r="F12" s="77"/>
      <c r="G12" s="77"/>
      <c r="H12" s="77"/>
      <c r="I12" s="77"/>
      <c r="J12" s="77"/>
      <c r="K12" s="77"/>
      <c r="L12" s="77"/>
      <c r="M12" s="78"/>
    </row>
    <row r="13" spans="2:13" x14ac:dyDescent="0.35">
      <c r="B13" s="82" t="s">
        <v>126</v>
      </c>
      <c r="C13" s="83"/>
      <c r="D13" s="83"/>
      <c r="E13" s="83"/>
      <c r="F13" s="83"/>
      <c r="G13" s="83"/>
      <c r="H13" s="83"/>
      <c r="I13" s="83"/>
      <c r="J13" s="83"/>
      <c r="K13" s="83"/>
      <c r="L13" s="83"/>
      <c r="M13" s="84"/>
    </row>
    <row r="14" spans="2:13" x14ac:dyDescent="0.35">
      <c r="B14" s="85"/>
      <c r="C14" s="86"/>
      <c r="D14" s="86"/>
      <c r="E14" s="86"/>
      <c r="F14" s="86"/>
      <c r="G14" s="86"/>
      <c r="H14" s="86"/>
      <c r="I14" s="86"/>
      <c r="J14" s="86"/>
      <c r="K14" s="86"/>
      <c r="L14" s="86"/>
      <c r="M14" s="87"/>
    </row>
    <row r="15" spans="2:13" x14ac:dyDescent="0.35">
      <c r="B15" s="82" t="s">
        <v>127</v>
      </c>
      <c r="C15" s="83"/>
      <c r="D15" s="83"/>
      <c r="E15" s="83"/>
      <c r="F15" s="83"/>
      <c r="G15" s="83"/>
      <c r="H15" s="83"/>
      <c r="I15" s="83"/>
      <c r="J15" s="83"/>
      <c r="K15" s="83"/>
      <c r="L15" s="83"/>
      <c r="M15" s="84"/>
    </row>
    <row r="16" spans="2:13" x14ac:dyDescent="0.35">
      <c r="B16" s="85"/>
      <c r="C16" s="86"/>
      <c r="D16" s="86"/>
      <c r="E16" s="86"/>
      <c r="F16" s="86"/>
      <c r="G16" s="86"/>
      <c r="H16" s="86"/>
      <c r="I16" s="86"/>
      <c r="J16" s="86"/>
      <c r="K16" s="86"/>
      <c r="L16" s="86"/>
      <c r="M16" s="87"/>
    </row>
    <row r="17" spans="2:13" ht="14.5" customHeight="1" x14ac:dyDescent="0.35">
      <c r="B17" s="64" t="s">
        <v>128</v>
      </c>
      <c r="C17" s="65"/>
      <c r="D17" s="65"/>
      <c r="E17" s="65"/>
      <c r="F17" s="65"/>
      <c r="G17" s="65"/>
      <c r="H17" s="65"/>
      <c r="I17" s="65"/>
      <c r="J17" s="65"/>
      <c r="K17" s="65"/>
      <c r="L17" s="65"/>
      <c r="M17" s="66"/>
    </row>
    <row r="18" spans="2:13" x14ac:dyDescent="0.35">
      <c r="B18" s="67"/>
      <c r="C18" s="68"/>
      <c r="D18" s="68"/>
      <c r="E18" s="68"/>
      <c r="F18" s="68"/>
      <c r="G18" s="68"/>
      <c r="H18" s="68"/>
      <c r="I18" s="68"/>
      <c r="J18" s="68"/>
      <c r="K18" s="68"/>
      <c r="L18" s="68"/>
      <c r="M18" s="69"/>
    </row>
    <row r="19" spans="2:13" x14ac:dyDescent="0.35">
      <c r="B19" s="58" t="s">
        <v>136</v>
      </c>
      <c r="C19" s="59"/>
      <c r="D19" s="59"/>
      <c r="E19" s="59"/>
      <c r="F19" s="59"/>
      <c r="G19" s="59"/>
      <c r="H19" s="59"/>
      <c r="I19" s="59"/>
      <c r="J19" s="59"/>
      <c r="K19" s="59"/>
      <c r="L19" s="59"/>
      <c r="M19" s="60"/>
    </row>
    <row r="20" spans="2:13" x14ac:dyDescent="0.35">
      <c r="B20" s="61"/>
      <c r="C20" s="62"/>
      <c r="D20" s="62"/>
      <c r="E20" s="62"/>
      <c r="F20" s="62"/>
      <c r="G20" s="62"/>
      <c r="H20" s="62"/>
      <c r="I20" s="62"/>
      <c r="J20" s="62"/>
      <c r="K20" s="62"/>
      <c r="L20" s="62"/>
      <c r="M20" s="63"/>
    </row>
    <row r="21" spans="2:13" x14ac:dyDescent="0.35">
      <c r="B21" s="79" t="s">
        <v>129</v>
      </c>
      <c r="C21" s="80"/>
      <c r="D21" s="80"/>
      <c r="E21" s="80"/>
      <c r="F21" s="80"/>
      <c r="G21" s="80"/>
      <c r="H21" s="80"/>
      <c r="I21" s="80"/>
      <c r="J21" s="80"/>
      <c r="K21" s="80"/>
      <c r="L21" s="80"/>
      <c r="M21" s="81"/>
    </row>
    <row r="22" spans="2:13" x14ac:dyDescent="0.35">
      <c r="B22" s="82" t="s">
        <v>130</v>
      </c>
      <c r="C22" s="83"/>
      <c r="D22" s="83"/>
      <c r="E22" s="83"/>
      <c r="F22" s="83"/>
      <c r="G22" s="83"/>
      <c r="H22" s="83"/>
      <c r="I22" s="83"/>
      <c r="J22" s="83"/>
      <c r="K22" s="83"/>
      <c r="L22" s="83"/>
      <c r="M22" s="84"/>
    </row>
    <row r="23" spans="2:13" x14ac:dyDescent="0.35">
      <c r="B23" s="85"/>
      <c r="C23" s="86"/>
      <c r="D23" s="86"/>
      <c r="E23" s="86"/>
      <c r="F23" s="86"/>
      <c r="G23" s="86"/>
      <c r="H23" s="86"/>
      <c r="I23" s="86"/>
      <c r="J23" s="86"/>
      <c r="K23" s="86"/>
      <c r="L23" s="86"/>
      <c r="M23" s="87"/>
    </row>
    <row r="24" spans="2:13" x14ac:dyDescent="0.35">
      <c r="B24" s="70" t="s">
        <v>138</v>
      </c>
      <c r="C24" s="71"/>
      <c r="D24" s="71"/>
      <c r="E24" s="71"/>
      <c r="F24" s="71"/>
      <c r="G24" s="71"/>
      <c r="H24" s="71"/>
      <c r="I24" s="71"/>
      <c r="J24" s="71"/>
      <c r="K24" s="71"/>
      <c r="L24" s="71"/>
      <c r="M24" s="72"/>
    </row>
    <row r="25" spans="2:13" ht="15" thickBot="1" x14ac:dyDescent="0.4">
      <c r="B25" s="73"/>
      <c r="C25" s="74"/>
      <c r="D25" s="74"/>
      <c r="E25" s="74"/>
      <c r="F25" s="74"/>
      <c r="G25" s="74"/>
      <c r="H25" s="74"/>
      <c r="I25" s="74"/>
      <c r="J25" s="74"/>
      <c r="K25" s="74"/>
      <c r="L25" s="74"/>
      <c r="M25" s="75"/>
    </row>
  </sheetData>
  <mergeCells count="17">
    <mergeCell ref="B9:M9"/>
    <mergeCell ref="B10:M10"/>
    <mergeCell ref="B2:M2"/>
    <mergeCell ref="B3:M3"/>
    <mergeCell ref="B4:M4"/>
    <mergeCell ref="B5:M5"/>
    <mergeCell ref="B7:M7"/>
    <mergeCell ref="B8:M8"/>
    <mergeCell ref="B6:M6"/>
    <mergeCell ref="B19:M20"/>
    <mergeCell ref="B17:M18"/>
    <mergeCell ref="B24:M25"/>
    <mergeCell ref="B12:M12"/>
    <mergeCell ref="B21:M21"/>
    <mergeCell ref="B15:M16"/>
    <mergeCell ref="B22:M23"/>
    <mergeCell ref="B13:M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Lists</vt:lpstr>
      <vt:lpstr>Raw Data</vt:lpstr>
      <vt:lpstr>Analysis</vt:lpstr>
      <vt:lpstr>Pivots</vt:lpstr>
      <vt:lpstr>Dashboard</vt:lpstr>
      <vt:lpstr>Insights &amp; Recommendations</vt:lpstr>
      <vt:lpstr>Categories</vt:lpstr>
      <vt:lpstr>Cities</vt:lpstr>
      <vt:lpstr>Costumer_s_Name</vt:lpstr>
      <vt:lpstr>Dicount</vt:lpstr>
      <vt:lpstr>Payment_Methods</vt:lpstr>
      <vt:lpstr>Products</vt:lpstr>
      <vt:lpstr>Region</vt:lpstr>
      <vt:lpstr>Salespersons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Admin Hp</cp:lastModifiedBy>
  <dcterms:created xsi:type="dcterms:W3CDTF">2026-07-25T12:20:18Z</dcterms:created>
  <dcterms:modified xsi:type="dcterms:W3CDTF">2026-10-26T13:54:55Z</dcterms:modified>
</cp:coreProperties>
</file>